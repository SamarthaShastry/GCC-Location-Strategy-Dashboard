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ridh\Downloads\"/>
    </mc:Choice>
  </mc:AlternateContent>
  <xr:revisionPtr revIDLastSave="0" documentId="13_ncr:1_{1DA68F2B-CCE0-486A-BED8-5032747004C0}" xr6:coauthVersionLast="47" xr6:coauthVersionMax="47" xr10:uidLastSave="{00000000-0000-0000-0000-000000000000}"/>
  <bookViews>
    <workbookView xWindow="-108" yWindow="-108" windowWidth="23256" windowHeight="12456" firstSheet="6" activeTab="7" xr2:uid="{00000000-000D-0000-FFFF-FFFF00000000}"/>
  </bookViews>
  <sheets>
    <sheet name="1_Raw_Data" sheetId="1" r:id="rId1"/>
    <sheet name="2_dim_Cities" sheetId="2" r:id="rId2"/>
    <sheet name="3_dim_Metrics" sheetId="3" r:id="rId3"/>
    <sheet name="4_Normalized_Scores" sheetId="4" r:id="rId4"/>
    <sheet name="5_GCC_Type_Presets" sheetId="5" r:id="rId5"/>
    <sheet name="6_Sensitivity_Analysis" sheetId="6" r:id="rId6"/>
    <sheet name="7_DAX_Reference" sheetId="7" r:id="rId7"/>
    <sheet name="8_Implementation_Checklist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5" l="1"/>
  <c r="H7" i="5"/>
  <c r="H6" i="5"/>
  <c r="H5" i="5"/>
  <c r="H4" i="5"/>
  <c r="H3" i="5"/>
  <c r="H2" i="5"/>
</calcChain>
</file>

<file path=xl/sharedStrings.xml><?xml version="1.0" encoding="utf-8"?>
<sst xmlns="http://schemas.openxmlformats.org/spreadsheetml/2006/main" count="548" uniqueCount="307">
  <si>
    <t>City</t>
  </si>
  <si>
    <t>State</t>
  </si>
  <si>
    <t>Education</t>
  </si>
  <si>
    <t>Technology Ecosystem</t>
  </si>
  <si>
    <t>Demographics</t>
  </si>
  <si>
    <t>Infrastructure</t>
  </si>
  <si>
    <t>Cost</t>
  </si>
  <si>
    <t>Regulatory and Social</t>
  </si>
  <si>
    <t>Science and Tech Graduates</t>
  </si>
  <si>
    <t>% Science and Tech Graduates</t>
  </si>
  <si>
    <t>Management  Graduates</t>
  </si>
  <si>
    <t>Total Graduates</t>
  </si>
  <si>
    <t>No. of Colleges</t>
  </si>
  <si>
    <t>College per Sq. KM</t>
  </si>
  <si>
    <t>Tech Talent Pool</t>
  </si>
  <si>
    <t>% Tech Talent Pool of population</t>
  </si>
  <si>
    <t>Tech Related Businesses</t>
  </si>
  <si>
    <t>Tech Business per sq. km</t>
  </si>
  <si>
    <t>Population</t>
  </si>
  <si>
    <t>Adult Literacy</t>
  </si>
  <si>
    <t>Area (Sq. KM)</t>
  </si>
  <si>
    <t>SEZ Area (Sq. KM)</t>
  </si>
  <si>
    <t>Metro Network (in KM)</t>
  </si>
  <si>
    <t>Airport (Number of Flights per day)</t>
  </si>
  <si>
    <t>Average Download Speedm(Mbps)</t>
  </si>
  <si>
    <t>Avg. Salary (Lakh per annum)</t>
  </si>
  <si>
    <t>Office rental (₹/Sq. Ft/month</t>
  </si>
  <si>
    <t>EoDB Rank (out of 37)</t>
  </si>
  <si>
    <t>Education Ecosystem Index</t>
  </si>
  <si>
    <t>Medical Ecosystem Index</t>
  </si>
  <si>
    <t>Cost of Living Index</t>
  </si>
  <si>
    <t>Crime Index</t>
  </si>
  <si>
    <t>Pollution Index</t>
  </si>
  <si>
    <t>Ahmedbad</t>
  </si>
  <si>
    <t>Gujarat</t>
  </si>
  <si>
    <t>Bhubaneshwar</t>
  </si>
  <si>
    <t>Odisha</t>
  </si>
  <si>
    <t>Chandigarh</t>
  </si>
  <si>
    <t>Punjab &amp; Haryana</t>
  </si>
  <si>
    <t>Coimbatore</t>
  </si>
  <si>
    <t>Tamil Nadu</t>
  </si>
  <si>
    <t>Guwahati</t>
  </si>
  <si>
    <t>Assam</t>
  </si>
  <si>
    <t>Hubballi</t>
  </si>
  <si>
    <t>Karnataka</t>
  </si>
  <si>
    <t>Indore</t>
  </si>
  <si>
    <t>Madhya Pradesh</t>
  </si>
  <si>
    <t>Jaipur</t>
  </si>
  <si>
    <t>Rajasthan</t>
  </si>
  <si>
    <t>Kanpur</t>
  </si>
  <si>
    <t>Uttar Pradesh</t>
  </si>
  <si>
    <t>Lucknow</t>
  </si>
  <si>
    <t>Madurai</t>
  </si>
  <si>
    <t>Mangaluru</t>
  </si>
  <si>
    <t>Mysuru</t>
  </si>
  <si>
    <t>Nagpur</t>
  </si>
  <si>
    <t>Maharastra</t>
  </si>
  <si>
    <t>Nashik</t>
  </si>
  <si>
    <t>Thiruvananthapuram</t>
  </si>
  <si>
    <t>Kerala</t>
  </si>
  <si>
    <t>Tirupati</t>
  </si>
  <si>
    <t>Andhra Pradesh</t>
  </si>
  <si>
    <t>Vijaywada</t>
  </si>
  <si>
    <t>Visakhapatnam</t>
  </si>
  <si>
    <t>Warangal</t>
  </si>
  <si>
    <t>Telangana</t>
  </si>
  <si>
    <t>Region</t>
  </si>
  <si>
    <t>Latitude</t>
  </si>
  <si>
    <t>Longitude</t>
  </si>
  <si>
    <t>Risk_Flags</t>
  </si>
  <si>
    <t>West</t>
  </si>
  <si>
    <t>None</t>
  </si>
  <si>
    <t>East</t>
  </si>
  <si>
    <t>North</t>
  </si>
  <si>
    <t>No metro | Low EoDB rank</t>
  </si>
  <si>
    <t>South</t>
  </si>
  <si>
    <t>No metro</t>
  </si>
  <si>
    <t>No metro | High crime</t>
  </si>
  <si>
    <t>Central</t>
  </si>
  <si>
    <t>Low EoDB rank</t>
  </si>
  <si>
    <t>High pollution</t>
  </si>
  <si>
    <t>No metro | Low internet</t>
  </si>
  <si>
    <t>No metro | No SEZ | High pollution</t>
  </si>
  <si>
    <t>No metro | High pollution</t>
  </si>
  <si>
    <t>No flights</t>
  </si>
  <si>
    <t>Metric_ID</t>
  </si>
  <si>
    <t>Metric_Name</t>
  </si>
  <si>
    <t>Pillar</t>
  </si>
  <si>
    <t>Direction</t>
  </si>
  <si>
    <t>Unit</t>
  </si>
  <si>
    <t>Description</t>
  </si>
  <si>
    <t>M01</t>
  </si>
  <si>
    <t>Talent Availability</t>
  </si>
  <si>
    <t>Higher = Better</t>
  </si>
  <si>
    <t>%</t>
  </si>
  <si>
    <t>Density: S&amp;T grads as % of city population</t>
  </si>
  <si>
    <t>M02</t>
  </si>
  <si>
    <t>Active tech workforce as % of population</t>
  </si>
  <si>
    <t>M03</t>
  </si>
  <si>
    <t>Rate 0-1</t>
  </si>
  <si>
    <t>Adult literacy rate — base talent quality proxy</t>
  </si>
  <si>
    <t>M04</t>
  </si>
  <si>
    <t>Count/km²</t>
  </si>
  <si>
    <t>Educational institution density</t>
  </si>
  <si>
    <t>M05</t>
  </si>
  <si>
    <t>Talent Cost</t>
  </si>
  <si>
    <t>Lower = Better</t>
  </si>
  <si>
    <t>₹ Lakh/yr</t>
  </si>
  <si>
    <t>Average annual CTC for tech roles</t>
  </si>
  <si>
    <t>M06</t>
  </si>
  <si>
    <t>₹/sqft/mo</t>
  </si>
  <si>
    <t>Grade A commercial office rental rate</t>
  </si>
  <si>
    <t>M07</t>
  </si>
  <si>
    <t>Index</t>
  </si>
  <si>
    <t>Composite cost of living for employees</t>
  </si>
  <si>
    <t>M08</t>
  </si>
  <si>
    <t>KM</t>
  </si>
  <si>
    <t>Operational metro rail network length</t>
  </si>
  <si>
    <t>M09</t>
  </si>
  <si>
    <t>Flights/day</t>
  </si>
  <si>
    <t>Daily commercial flight operations</t>
  </si>
  <si>
    <t>M10</t>
  </si>
  <si>
    <t>Mbps</t>
  </si>
  <si>
    <t>Average broadband download speed</t>
  </si>
  <si>
    <t>M11</t>
  </si>
  <si>
    <t>km²</t>
  </si>
  <si>
    <t>Available Special Economic Zone area</t>
  </si>
  <si>
    <t>M12</t>
  </si>
  <si>
    <t>Rank (1=best)</t>
  </si>
  <si>
    <t>Ease of Doing Business state ranking</t>
  </si>
  <si>
    <t>M13</t>
  </si>
  <si>
    <t>Tech Ecosystem</t>
  </si>
  <si>
    <t>Biz/km²</t>
  </si>
  <si>
    <t>Tech company density — ecosystem richness</t>
  </si>
  <si>
    <t>M14</t>
  </si>
  <si>
    <t>Quality and depth of education ecosystem</t>
  </si>
  <si>
    <t>M15</t>
  </si>
  <si>
    <t>Healthcare quality for employee retention</t>
  </si>
  <si>
    <t>M16</t>
  </si>
  <si>
    <t>Liveability</t>
  </si>
  <si>
    <t>Composite crime rate index</t>
  </si>
  <si>
    <t>M17</t>
  </si>
  <si>
    <t>Air and noise pollution composite</t>
  </si>
  <si>
    <t>M18</t>
  </si>
  <si>
    <t>Also weighted in liveability pillar</t>
  </si>
  <si>
    <t>Composite Score
(Equal Weights)</t>
  </si>
  <si>
    <t>GCC Type</t>
  </si>
  <si>
    <t>Strategic Rationale</t>
  </si>
  <si>
    <t>Total (=100)</t>
  </si>
  <si>
    <t>IT / Software</t>
  </si>
  <si>
    <t>High talent need; cost-conscious; strong connectivity required</t>
  </si>
  <si>
    <t>Finance / BFSI</t>
  </si>
  <si>
    <t>Balanced talent-cost; regulatory clarity; strong infra for compliance</t>
  </si>
  <si>
    <t>Engineering R&amp;D</t>
  </si>
  <si>
    <t>Deep talent pool critical; thriving innovation hubs preferred</t>
  </si>
  <si>
    <t>Analytics / Data</t>
  </si>
  <si>
    <t>Talent + connectivity focused; ecosystem for tooling and tools</t>
  </si>
  <si>
    <t>Legal / Compliance</t>
  </si>
  <si>
    <t>Cost efficiency key; stable governance; liveability for retention</t>
  </si>
  <si>
    <t>Healthcare Tech</t>
  </si>
  <si>
    <t>Medical ecosystem critical differentiator; balanced across all</t>
  </si>
  <si>
    <t>Custom (Edit)</t>
  </si>
  <si>
    <t>Modify each weight column — total MUST equal 100</t>
  </si>
  <si>
    <t>Equal Weights (20/20/20/20/20)</t>
  </si>
  <si>
    <t>Talent Heavy (40/20/15/15/10)</t>
  </si>
  <si>
    <t>Cost First (20/45/15/10/10)</t>
  </si>
  <si>
    <t>Infrastructure Led (20/15/40/15/10)</t>
  </si>
  <si>
    <t>Ecosystem Focus (20/15/20/35/10)</t>
  </si>
  <si>
    <t>Liveability Priority (15/20/15/15/35)</t>
  </si>
  <si>
    <t>Talent: 20% / Talent: 20% / Infras: 20% / Tech E: 20% / Liveab: 20%</t>
  </si>
  <si>
    <t>Talent: 40% / Talent: 20% / Infras: 15% / Tech E: 15% / Liveab: 10%</t>
  </si>
  <si>
    <t>Talent: 20% / Talent: 45% / Infras: 15% / Tech E: 10% / Liveab: 10%</t>
  </si>
  <si>
    <t>Talent: 20% / Talent: 15% / Infras: 40% / Tech E: 15% / Liveab: 10%</t>
  </si>
  <si>
    <t>Talent: 20% / Talent: 15% / Infras: 20% / Tech E: 35% / Liveab: 10%</t>
  </si>
  <si>
    <t>Talent: 15% / Talent: 20% / Infras: 15% / Tech E: 15% / Liveab: 35%</t>
  </si>
  <si>
    <t>════════════════════════════════════════════════════════</t>
  </si>
  <si>
    <t xml:space="preserve">  MEASURE 1: Composite Score — core weighted formula    </t>
  </si>
  <si>
    <t>Composite_Score =</t>
  </si>
  <si>
    <t>VAR TotalWeight =</t>
  </si>
  <si>
    <t xml:space="preserve">    [Weight_Talent] + [Weight_Cost] + [Weight_Infrastructure]</t>
  </si>
  <si>
    <t xml:space="preserve">    + [Weight_Ecosystem] + [Weight_Liveability]</t>
  </si>
  <si>
    <t>VAR wTalent = DIVIDE([Weight_Talent], TotalWeight)</t>
  </si>
  <si>
    <t>VAR wCost   = DIVIDE([Weight_Cost],   TotalWeight)</t>
  </si>
  <si>
    <t>VAR wInfra  = DIVIDE([Weight_Infrastructure], TotalWeight)</t>
  </si>
  <si>
    <t>VAR wEco    = DIVIDE([Weight_Ecosystem], TotalWeight)</t>
  </si>
  <si>
    <t>VAR wLive   = DIVIDE([Weight_Liveability], TotalWeight)</t>
  </si>
  <si>
    <t>RETURN</t>
  </si>
  <si>
    <t xml:space="preserve">    CALCULATE(</t>
  </si>
  <si>
    <t xml:space="preserve">        SELECTEDVALUE('4_Normalized_Scores'[Talent Availability]) * wTalent</t>
  </si>
  <si>
    <t xml:space="preserve">      + SELECTEDVALUE('4_Normalized_Scores'[Talent Cost])         * wCost</t>
  </si>
  <si>
    <t xml:space="preserve">      + SELECTEDVALUE('4_Normalized_Scores'[Infrastructure])      * wInfra</t>
  </si>
  <si>
    <t xml:space="preserve">      + SELECTEDVALUE('4_Normalized_Scores'[Tech Ecosystem])      * wEco</t>
  </si>
  <si>
    <t xml:space="preserve">      + SELECTEDVALUE('4_Normalized_Scores'[Liveability])         * wLive</t>
  </si>
  <si>
    <t xml:space="preserve">    )</t>
  </si>
  <si>
    <t>════════  MEASURE 2: City Rank  ════════</t>
  </si>
  <si>
    <t>City_Rank =</t>
  </si>
  <si>
    <t>RANKX(ALL('2_dim_Cities'[City]), [Composite_Score], , DESC, DENSE)</t>
  </si>
  <si>
    <t>════════  MEASURE 3: Top City Name (KPI card)  ════════</t>
  </si>
  <si>
    <t>Top_City_Name =</t>
  </si>
  <si>
    <t>CALCULATE(</t>
  </si>
  <si>
    <t xml:space="preserve">    FIRSTNONBLANK('2_dim_Cities'[City], 1),</t>
  </si>
  <si>
    <t xml:space="preserve">    TOPN(1, ALL('2_dim_Cities'[City]), [Composite_Score], DESC)</t>
  </si>
  <si>
    <t>)</t>
  </si>
  <si>
    <t>════════  MEASURE 4: Pillar vs City Average (radar tooltip)  ════════</t>
  </si>
  <si>
    <t>Talent_vs_Average =</t>
  </si>
  <si>
    <t>SELECTEDVALUE('4_Normalized_Scores'[Talent Availability])</t>
  </si>
  <si>
    <t xml:space="preserve">    - AVERAGEX(ALL('2_dim_Cities'), [Composite_Score])</t>
  </si>
  <si>
    <t>════════  MEASURE 5: Weight Validation Guard  ════════</t>
  </si>
  <si>
    <t>Weight_Check =</t>
  </si>
  <si>
    <t>VAR total = [Weight_Talent]+[Weight_Cost]+[Weight_Infrastructure]</t>
  </si>
  <si>
    <t xml:space="preserve">              +[Weight_Ecosystem]+[Weight_Liveability]</t>
  </si>
  <si>
    <t>RETURN IF(total = 100, "✓ Weights valid", "⚠ Weights sum to " &amp; total &amp; " — must be 100")</t>
  </si>
  <si>
    <t>════════  MEASURE 6: Rank Change vs Equal Weights  ════════</t>
  </si>
  <si>
    <t>Rank_vs_Baseline =</t>
  </si>
  <si>
    <t>VAR current_rank = [City_Rank]</t>
  </si>
  <si>
    <t>VAR baseline_rank =  -- Calculate rank with equal weights</t>
  </si>
  <si>
    <t xml:space="preserve">    RANKX(ALL('2_dim_Cities'[City]),</t>
  </si>
  <si>
    <t xml:space="preserve">        CALCULATE([Composite_Score],</t>
  </si>
  <si>
    <t xml:space="preserve">            'param_Weights'[Weight] = 20), , DESC, DENSE)</t>
  </si>
  <si>
    <t>RETURN baseline_rank - current_rank  -- positive = improved rank</t>
  </si>
  <si>
    <t>════════  POWER BI PARAMETERS (create these first)  ════════</t>
  </si>
  <si>
    <t>Parameter Name         | Min | Max | Default | Increment</t>
  </si>
  <si>
    <t xml:space="preserve">Weight_Talent          |  0  | 100 |   20    |    5    </t>
  </si>
  <si>
    <t xml:space="preserve">Weight_Cost            |  0  | 100 |   20    |    5    </t>
  </si>
  <si>
    <t xml:space="preserve">Weight_Infrastructure  |  0  | 100 |   20    |    5    </t>
  </si>
  <si>
    <t xml:space="preserve">Weight_Ecosystem       |  0  | 100 |   20    |    5    </t>
  </si>
  <si>
    <t xml:space="preserve">Weight_Liveability     |  0  | 100 |   20    |    5    </t>
  </si>
  <si>
    <t>════════  TABLE RELATIONSHIPS (set in Model view)  ════════</t>
  </si>
  <si>
    <t>1_Raw_Data[City]          →  4_Normalized_Scores[City]  (1:1)</t>
  </si>
  <si>
    <t>1_Raw_Data[City]          →  2_dim_Cities[City]          (1:1)</t>
  </si>
  <si>
    <t>4_Normalized_Scores[City] →  2_dim_Cities[City]          (1:1)</t>
  </si>
  <si>
    <t>2_dim_Cities[City]        →  Composite measures (all use City as context)</t>
  </si>
  <si>
    <t>PHASE</t>
  </si>
  <si>
    <t>STEP</t>
  </si>
  <si>
    <t>TASK</t>
  </si>
  <si>
    <t>DETAIL / ACCEPTANCE CRITERIA</t>
  </si>
  <si>
    <t>STATUS</t>
  </si>
  <si>
    <t>1 · Data Prep</t>
  </si>
  <si>
    <t>Verify Raw Data</t>
  </si>
  <si>
    <t>Open 1_Raw_Data — confirm 20 cities, 25 columns, zero blank cells</t>
  </si>
  <si>
    <t>☐</t>
  </si>
  <si>
    <t>Audit Normalized Scores</t>
  </si>
  <si>
    <t>Open 4_Normalized_Scores — confirm all values between 0 and 100</t>
  </si>
  <si>
    <t>Review Risk Flags</t>
  </si>
  <si>
    <t>Open 2_dim_Cities — every city has pre-computed risk flags</t>
  </si>
  <si>
    <t>Add Coordinates</t>
  </si>
  <si>
    <t>Confirm Lat/Lon populated in 2_dim_Cities for all 20 cities</t>
  </si>
  <si>
    <t>Enrich Optional Data</t>
  </si>
  <si>
    <t>Add Govt incentives, attrition rate, English proficiency if available</t>
  </si>
  <si>
    <t>2 · Power BI</t>
  </si>
  <si>
    <t>Import All Sheets</t>
  </si>
  <si>
    <t>Get Data &gt; Excel &gt; import sheets 1-6; verify column types</t>
  </si>
  <si>
    <t>Create 5 Parameters</t>
  </si>
  <si>
    <t>Modeling &gt; New Parameter for each pillar (see 7_DAX_Reference)</t>
  </si>
  <si>
    <t>Set Relationships</t>
  </si>
  <si>
    <t>Connect tables as shown in 7_DAX_Reference relationships section</t>
  </si>
  <si>
    <t>Add All DAX Measures</t>
  </si>
  <si>
    <t>Copy all 6 measures from 7_DAX_Reference into Power BI</t>
  </si>
  <si>
    <t>Validate Composite Score</t>
  </si>
  <si>
    <t>Equal weights → Mangaluru/Thiruvananthapuram should top rankings</t>
  </si>
  <si>
    <t>Test Weight Guard</t>
  </si>
  <si>
    <t>Set weights to e.g. 30+30+30+5+5=100 — Weight_Check shows ✓</t>
  </si>
  <si>
    <t>3 · Dashboard</t>
  </si>
  <si>
    <t>Page 1: Priority Config</t>
  </si>
  <si>
    <t>5 pillar sliders + 6 GCC type preset buttons + weight validity badge</t>
  </si>
  <si>
    <t>Page 2: Leaderboard</t>
  </si>
  <si>
    <t>Sorted bar chart + Top 3 KPI cards + pillar breakdown clustered bar</t>
  </si>
  <si>
    <t>Page 3: City Deep Dive</t>
  </si>
  <si>
    <t>Radar chart + comparison table + raw metrics + risk flag card</t>
  </si>
  <si>
    <t>Page 4: India Map</t>
  </si>
  <si>
    <t>Shape map bubbles (size=score, colour=top pillar) + filter panel</t>
  </si>
  <si>
    <t>Page 5: Sensitivity View</t>
  </si>
  <si>
    <t>Scenario table from 6_Sensitivity_Analysis with rank highlights</t>
  </si>
  <si>
    <t>4 · Polish</t>
  </si>
  <si>
    <t>Apply Brand Theme</t>
  </si>
  <si>
    <t>Navy/white/blue palette; Segoe UI 10pt throughout</t>
  </si>
  <si>
    <t>Conditional Formatting</t>
  </si>
  <si>
    <t>Green/amber/red on all score columns in table/matrix visuals</t>
  </si>
  <si>
    <t>Create 6 Bookmarks</t>
  </si>
  <si>
    <t>One per GCC type preset — button triggers bookmark + weight change</t>
  </si>
  <si>
    <t>Custom Tooltip Page</t>
  </si>
  <si>
    <t>Hidden page with: city, score, rank, top strength, risk flags</t>
  </si>
  <si>
    <t>Mobile Layout</t>
  </si>
  <si>
    <t>View &gt; Mobile Layout — arrange KPIs + top chart for phone view</t>
  </si>
  <si>
    <t>5 · Validation</t>
  </si>
  <si>
    <t>Test All 6 Scenarios</t>
  </si>
  <si>
    <t>Manually verify each matches 6_Sensitivity_Analysis rankings</t>
  </si>
  <si>
    <t>Edge Case: All to One Pillar</t>
  </si>
  <si>
    <t>Set one pillar to 100, rest to 0 — confirm no errors or divide-by-zero</t>
  </si>
  <si>
    <t>Test Risk Flags</t>
  </si>
  <si>
    <t>Select Warangal — confirm "No flights" risk flag appears in Page 3</t>
  </si>
  <si>
    <t>Test Map Drillthrough</t>
  </si>
  <si>
    <t>Click city bubble on Page 4 — confirm Page 3 opens with correct city</t>
  </si>
  <si>
    <t>Set weights to 90 total — confirm warning message appears</t>
  </si>
  <si>
    <t>6 · Scale-Up</t>
  </si>
  <si>
    <t>Add New City</t>
  </si>
  <si>
    <t>Add row to 1_Raw_Data + 2_dim_Cities — normalized scores must auto-update</t>
  </si>
  <si>
    <t>Add New Metric</t>
  </si>
  <si>
    <t>Add column to 1_Raw_Data + row to 3_dim_Metrics + normalize in Sheet 4</t>
  </si>
  <si>
    <t>Add New Pillar</t>
  </si>
  <si>
    <t>Add column to 4_Normalized_Scores + new parameter + update DAX measure</t>
  </si>
  <si>
    <t>Export PDF Report</t>
  </si>
  <si>
    <t>File &gt; Export &gt; PDF for static deliverable to C-suite / client</t>
  </si>
  <si>
    <t>Publish to PBI Service</t>
  </si>
  <si>
    <t>Workspace &gt; Publish; configure scheduled refresh + row-level security</t>
  </si>
  <si>
    <t>Embed in Website/Portal</t>
  </si>
  <si>
    <t>Use Power BI Embedded API for white-label client portal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</si>
</sst>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.0000"/>
    <numFmt numFmtId="165" formatCode="0.0"/>
    <numFmt numFmtId="166" formatCode="0&quot;%&quot;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sz val="8"/>
      <name val="Arial"/>
      <family val="2"/>
    </font>
    <font>
      <sz val="10"/>
      <name val="Courier New"/>
      <family val="3"/>
    </font>
    <font>
      <sz val="11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4ECF7"/>
      </patternFill>
    </fill>
    <fill>
      <patternFill patternType="solid">
        <fgColor rgb="FFFDEDEC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E8F4FD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rgb="FFF8F9FA"/>
      </patternFill>
    </fill>
    <fill>
      <patternFill patternType="solid">
        <fgColor rgb="FFEBF5FB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6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165" fontId="3" fillId="9" borderId="1" xfId="0" applyNumberFormat="1" applyFont="1" applyFill="1" applyBorder="1" applyAlignment="1">
      <alignment horizontal="center" vertical="center" wrapText="1"/>
    </xf>
    <xf numFmtId="165" fontId="3" fillId="10" borderId="1" xfId="0" applyNumberFormat="1" applyFont="1" applyFill="1" applyBorder="1" applyAlignment="1">
      <alignment horizontal="center" vertical="center" wrapText="1"/>
    </xf>
    <xf numFmtId="165" fontId="3" fillId="11" borderId="1" xfId="0" applyNumberFormat="1" applyFont="1" applyFill="1" applyBorder="1" applyAlignment="1">
      <alignment horizontal="center" vertical="center" wrapText="1"/>
    </xf>
    <xf numFmtId="165" fontId="2" fillId="9" borderId="1" xfId="0" applyNumberFormat="1" applyFont="1" applyFill="1" applyBorder="1" applyAlignment="1">
      <alignment horizontal="center" vertical="center" wrapText="1"/>
    </xf>
    <xf numFmtId="165" fontId="2" fillId="10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left" vertical="center" wrapText="1"/>
    </xf>
    <xf numFmtId="166" fontId="3" fillId="12" borderId="1" xfId="0" applyNumberFormat="1" applyFont="1" applyFill="1" applyBorder="1" applyAlignment="1">
      <alignment horizontal="center" vertical="center" wrapText="1"/>
    </xf>
    <xf numFmtId="166" fontId="2" fillId="11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left" vertical="center" wrapText="1"/>
    </xf>
    <xf numFmtId="166" fontId="3" fillId="13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2" fontId="3" fillId="14" borderId="1" xfId="0" applyNumberFormat="1" applyFont="1" applyFill="1" applyBorder="1" applyAlignment="1">
      <alignment horizontal="center" vertical="center" wrapText="1"/>
    </xf>
    <xf numFmtId="2" fontId="3" fillId="11" borderId="1" xfId="0" applyNumberFormat="1" applyFont="1" applyFill="1" applyBorder="1" applyAlignment="1">
      <alignment horizontal="center" vertical="center" wrapText="1"/>
    </xf>
    <xf numFmtId="2" fontId="3" fillId="9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6" fillId="15" borderId="0" xfId="0" applyFont="1" applyFill="1" applyAlignment="1">
      <alignment horizontal="left" vertical="center" wrapText="1"/>
    </xf>
    <xf numFmtId="0" fontId="6" fillId="16" borderId="0" xfId="0" applyFont="1" applyFill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2" fillId="0" borderId="1" xfId="1" applyNumberFormat="1" applyFont="1" applyBorder="1" applyAlignment="1">
      <alignment horizontal="center" vertical="center" wrapText="1"/>
    </xf>
    <xf numFmtId="165" fontId="1" fillId="2" borderId="1" xfId="1" applyNumberFormat="1" applyFont="1" applyFill="1" applyBorder="1" applyAlignment="1">
      <alignment horizontal="center" vertical="center" wrapText="1"/>
    </xf>
    <xf numFmtId="165" fontId="2" fillId="0" borderId="1" xfId="1" applyNumberFormat="1" applyFont="1" applyBorder="1" applyAlignment="1">
      <alignment horizontal="center" vertical="center" wrapText="1"/>
    </xf>
    <xf numFmtId="165" fontId="0" fillId="0" borderId="0" xfId="1" applyNumberFormat="1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2"/>
  <sheetViews>
    <sheetView workbookViewId="0">
      <pane xSplit="2" ySplit="2" topLeftCell="C3" activePane="bottomRight" state="frozen"/>
      <selection pane="topRight"/>
      <selection pane="bottomLeft"/>
      <selection pane="bottomRight" activeCell="S11" sqref="S11"/>
    </sheetView>
  </sheetViews>
  <sheetFormatPr defaultRowHeight="14.4" x14ac:dyDescent="0.3"/>
  <cols>
    <col min="1" max="1" width="22" customWidth="1"/>
    <col min="2" max="2" width="18" customWidth="1"/>
    <col min="3" max="27" width="14" customWidth="1"/>
  </cols>
  <sheetData>
    <row r="1" spans="1:27" x14ac:dyDescent="0.3">
      <c r="A1" s="1" t="s">
        <v>0</v>
      </c>
      <c r="B1" s="1" t="s">
        <v>1</v>
      </c>
      <c r="C1" s="56" t="s">
        <v>2</v>
      </c>
      <c r="D1" s="57"/>
      <c r="E1" s="57"/>
      <c r="F1" s="57"/>
      <c r="G1" s="57"/>
      <c r="H1" s="58"/>
      <c r="I1" s="56" t="s">
        <v>3</v>
      </c>
      <c r="J1" s="57"/>
      <c r="K1" s="57"/>
      <c r="L1" s="58"/>
      <c r="M1" s="56" t="s">
        <v>4</v>
      </c>
      <c r="N1" s="57"/>
      <c r="O1" s="58"/>
      <c r="P1" s="56" t="s">
        <v>5</v>
      </c>
      <c r="Q1" s="57"/>
      <c r="R1" s="57"/>
      <c r="S1" s="58"/>
      <c r="T1" s="56" t="s">
        <v>6</v>
      </c>
      <c r="U1" s="58"/>
      <c r="V1" s="56" t="s">
        <v>7</v>
      </c>
      <c r="W1" s="57"/>
      <c r="X1" s="57"/>
      <c r="Y1" s="57"/>
      <c r="Z1" s="57"/>
      <c r="AA1" s="58"/>
    </row>
    <row r="2" spans="1:27" ht="52.8" x14ac:dyDescent="0.3">
      <c r="A2" s="2" t="s">
        <v>0</v>
      </c>
      <c r="B2" s="2" t="s">
        <v>1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  <c r="N2" s="2" t="s">
        <v>19</v>
      </c>
      <c r="O2" s="2" t="s">
        <v>20</v>
      </c>
      <c r="P2" s="2" t="s">
        <v>21</v>
      </c>
      <c r="Q2" s="2" t="s">
        <v>22</v>
      </c>
      <c r="R2" s="2" t="s">
        <v>23</v>
      </c>
      <c r="S2" s="2" t="s">
        <v>24</v>
      </c>
      <c r="T2" s="2" t="s">
        <v>25</v>
      </c>
      <c r="U2" s="2" t="s">
        <v>26</v>
      </c>
      <c r="V2" s="2" t="s">
        <v>27</v>
      </c>
      <c r="W2" s="2" t="s">
        <v>28</v>
      </c>
      <c r="X2" s="2" t="s">
        <v>29</v>
      </c>
      <c r="Y2" s="2" t="s">
        <v>30</v>
      </c>
      <c r="Z2" s="2" t="s">
        <v>31</v>
      </c>
      <c r="AA2" s="2" t="s">
        <v>32</v>
      </c>
    </row>
    <row r="3" spans="1:27" x14ac:dyDescent="0.3">
      <c r="A3" s="3" t="s">
        <v>33</v>
      </c>
      <c r="B3" s="4" t="s">
        <v>34</v>
      </c>
      <c r="C3" s="5">
        <v>14200</v>
      </c>
      <c r="D3" s="6">
        <v>0.169047619047619</v>
      </c>
      <c r="E3" s="5">
        <v>4200</v>
      </c>
      <c r="F3" s="5">
        <v>18400</v>
      </c>
      <c r="G3" s="5">
        <v>550</v>
      </c>
      <c r="H3" s="6">
        <v>1.089108910891089</v>
      </c>
      <c r="I3" s="5">
        <v>95000</v>
      </c>
      <c r="J3" s="6">
        <v>1.1309523809523809</v>
      </c>
      <c r="K3" s="5">
        <v>3700</v>
      </c>
      <c r="L3" s="6">
        <v>7.326732673267327</v>
      </c>
      <c r="M3" s="5">
        <v>8400000</v>
      </c>
      <c r="N3" s="6">
        <v>0.88160000000000005</v>
      </c>
      <c r="O3" s="5">
        <v>505</v>
      </c>
      <c r="P3" s="6">
        <v>2.4</v>
      </c>
      <c r="Q3" s="5">
        <v>74</v>
      </c>
      <c r="R3" s="5">
        <v>94</v>
      </c>
      <c r="S3" s="6">
        <v>43.86</v>
      </c>
      <c r="T3" s="5">
        <v>10</v>
      </c>
      <c r="U3" s="6">
        <v>42.5</v>
      </c>
      <c r="V3" s="5">
        <v>2</v>
      </c>
      <c r="W3" s="6">
        <v>6.8</v>
      </c>
      <c r="X3" s="6">
        <v>13.11</v>
      </c>
      <c r="Y3" s="6">
        <v>24.42</v>
      </c>
      <c r="Z3" s="6">
        <v>39.04</v>
      </c>
      <c r="AA3" s="6">
        <v>55.9</v>
      </c>
    </row>
    <row r="4" spans="1:27" x14ac:dyDescent="0.3">
      <c r="A4" s="3" t="s">
        <v>35</v>
      </c>
      <c r="B4" s="4" t="s">
        <v>36</v>
      </c>
      <c r="C4" s="5">
        <v>20900</v>
      </c>
      <c r="D4" s="6">
        <v>1.7131147540983609</v>
      </c>
      <c r="E4" s="5">
        <v>9900</v>
      </c>
      <c r="F4" s="5">
        <v>30800</v>
      </c>
      <c r="G4" s="5">
        <v>330</v>
      </c>
      <c r="H4" s="6">
        <v>1.774193548387097</v>
      </c>
      <c r="I4" s="5">
        <v>62500</v>
      </c>
      <c r="J4" s="6">
        <v>5.1229508196721314</v>
      </c>
      <c r="K4" s="5">
        <v>200</v>
      </c>
      <c r="L4" s="6">
        <v>1.075268817204301</v>
      </c>
      <c r="M4" s="5">
        <v>1220000</v>
      </c>
      <c r="N4" s="6">
        <v>0.93149999999999999</v>
      </c>
      <c r="O4" s="5">
        <v>186</v>
      </c>
      <c r="P4" s="6">
        <v>2.0299999999999998</v>
      </c>
      <c r="Q4" s="5">
        <v>30</v>
      </c>
      <c r="R4" s="5">
        <v>45</v>
      </c>
      <c r="S4" s="6">
        <v>43.76</v>
      </c>
      <c r="T4" s="5">
        <v>10</v>
      </c>
      <c r="U4" s="5">
        <v>70</v>
      </c>
      <c r="V4" s="5">
        <v>11</v>
      </c>
      <c r="W4" s="6">
        <v>11.44</v>
      </c>
      <c r="X4" s="6">
        <v>3.15</v>
      </c>
      <c r="Y4" s="6">
        <v>20.56</v>
      </c>
      <c r="Z4" s="6">
        <v>39.04</v>
      </c>
      <c r="AA4" s="6">
        <v>55.9</v>
      </c>
    </row>
    <row r="5" spans="1:27" x14ac:dyDescent="0.3">
      <c r="A5" s="3" t="s">
        <v>37</v>
      </c>
      <c r="B5" s="4" t="s">
        <v>38</v>
      </c>
      <c r="C5" s="5">
        <v>3200</v>
      </c>
      <c r="D5" s="6">
        <v>0.26890756302521007</v>
      </c>
      <c r="E5" s="5">
        <v>600</v>
      </c>
      <c r="F5" s="5">
        <v>3800</v>
      </c>
      <c r="G5" s="5">
        <v>75</v>
      </c>
      <c r="H5" s="6">
        <v>0.65789473684210531</v>
      </c>
      <c r="I5" s="5">
        <v>57500</v>
      </c>
      <c r="J5" s="6">
        <v>4.8319327731092443</v>
      </c>
      <c r="K5" s="5">
        <v>600</v>
      </c>
      <c r="L5" s="6">
        <v>5.2631578947368416</v>
      </c>
      <c r="M5" s="5">
        <v>1190000</v>
      </c>
      <c r="N5" s="6">
        <v>0.86050000000000004</v>
      </c>
      <c r="O5" s="5">
        <v>114</v>
      </c>
      <c r="P5" s="6">
        <v>1.5</v>
      </c>
      <c r="Q5" s="5">
        <v>0</v>
      </c>
      <c r="R5" s="5">
        <v>36</v>
      </c>
      <c r="S5" s="6">
        <v>48.14</v>
      </c>
      <c r="T5" s="6">
        <v>10.5</v>
      </c>
      <c r="U5" s="5">
        <v>70</v>
      </c>
      <c r="V5" s="5">
        <v>23</v>
      </c>
      <c r="W5" s="6">
        <v>9.1300000000000008</v>
      </c>
      <c r="X5" s="6">
        <v>11.45</v>
      </c>
      <c r="Y5" s="6">
        <v>22.51</v>
      </c>
      <c r="Z5" s="6">
        <v>43.46</v>
      </c>
      <c r="AA5" s="6">
        <v>51.41</v>
      </c>
    </row>
    <row r="6" spans="1:27" x14ac:dyDescent="0.3">
      <c r="A6" s="3" t="s">
        <v>39</v>
      </c>
      <c r="B6" s="4" t="s">
        <v>40</v>
      </c>
      <c r="C6" s="5">
        <v>37200</v>
      </c>
      <c r="D6" s="6">
        <v>1.3006993006993011</v>
      </c>
      <c r="E6" s="5">
        <v>4800</v>
      </c>
      <c r="F6" s="5">
        <v>42000</v>
      </c>
      <c r="G6" s="5">
        <v>300</v>
      </c>
      <c r="H6" s="6">
        <v>1.171875</v>
      </c>
      <c r="I6" s="5">
        <v>110000</v>
      </c>
      <c r="J6" s="6">
        <v>3.8461538461538458</v>
      </c>
      <c r="K6" s="5">
        <v>1000</v>
      </c>
      <c r="L6" s="6">
        <v>3.90625</v>
      </c>
      <c r="M6" s="5">
        <v>2860000</v>
      </c>
      <c r="N6" s="6">
        <v>0.91300000000000003</v>
      </c>
      <c r="O6" s="5">
        <v>256</v>
      </c>
      <c r="P6" s="6">
        <v>0.75</v>
      </c>
      <c r="Q6" s="5">
        <v>147</v>
      </c>
      <c r="R6" s="5">
        <v>25</v>
      </c>
      <c r="S6" s="6">
        <v>50.4</v>
      </c>
      <c r="T6" s="6">
        <v>10.25</v>
      </c>
      <c r="U6" s="5">
        <v>85</v>
      </c>
      <c r="V6" s="5">
        <v>6</v>
      </c>
      <c r="W6" s="6">
        <v>5.78</v>
      </c>
      <c r="X6" s="6">
        <v>7.54</v>
      </c>
      <c r="Y6" s="6">
        <v>20.100000000000001</v>
      </c>
      <c r="Z6" s="6">
        <v>39.04</v>
      </c>
      <c r="AA6" s="6">
        <v>55.9</v>
      </c>
    </row>
    <row r="7" spans="1:27" x14ac:dyDescent="0.3">
      <c r="A7" s="3" t="s">
        <v>41</v>
      </c>
      <c r="B7" s="4" t="s">
        <v>42</v>
      </c>
      <c r="C7" s="5">
        <v>4700</v>
      </c>
      <c r="D7" s="6">
        <v>0.40869565217391302</v>
      </c>
      <c r="E7" s="5">
        <v>2700</v>
      </c>
      <c r="F7" s="5">
        <v>7400</v>
      </c>
      <c r="G7" s="5">
        <v>116</v>
      </c>
      <c r="H7" s="6">
        <v>0.53703703703703709</v>
      </c>
      <c r="I7" s="5">
        <v>20000</v>
      </c>
      <c r="J7" s="6">
        <v>1.7391304347826091</v>
      </c>
      <c r="K7" s="5">
        <v>500</v>
      </c>
      <c r="L7" s="6">
        <v>2.3148148148148149</v>
      </c>
      <c r="M7" s="5">
        <v>1150000</v>
      </c>
      <c r="N7" s="6">
        <v>0.91469999999999996</v>
      </c>
      <c r="O7" s="5">
        <v>216</v>
      </c>
      <c r="P7" s="6">
        <v>0.25</v>
      </c>
      <c r="Q7" s="5">
        <v>0</v>
      </c>
      <c r="R7" s="5">
        <v>25</v>
      </c>
      <c r="S7" s="6">
        <v>47.78</v>
      </c>
      <c r="T7" s="5">
        <v>8</v>
      </c>
      <c r="U7" s="5">
        <v>35</v>
      </c>
      <c r="V7" s="5">
        <v>14</v>
      </c>
      <c r="W7" s="6">
        <v>37.93</v>
      </c>
      <c r="X7" s="6">
        <v>4.5199999999999996</v>
      </c>
      <c r="Y7" s="6">
        <v>21.43</v>
      </c>
      <c r="Z7" s="6">
        <v>44.59</v>
      </c>
      <c r="AA7" s="5">
        <v>37</v>
      </c>
    </row>
    <row r="8" spans="1:27" x14ac:dyDescent="0.3">
      <c r="A8" s="3" t="s">
        <v>43</v>
      </c>
      <c r="B8" s="4" t="s">
        <v>44</v>
      </c>
      <c r="C8" s="5">
        <v>2800</v>
      </c>
      <c r="D8" s="6">
        <v>0.2434782608695652</v>
      </c>
      <c r="E8" s="5">
        <v>3200</v>
      </c>
      <c r="F8" s="5">
        <v>6000</v>
      </c>
      <c r="G8" s="5">
        <v>176</v>
      </c>
      <c r="H8" s="6">
        <v>0.87128712871287128</v>
      </c>
      <c r="I8" s="5">
        <v>6000</v>
      </c>
      <c r="J8" s="6">
        <v>0.52173913043478271</v>
      </c>
      <c r="K8" s="5">
        <v>36</v>
      </c>
      <c r="L8" s="6">
        <v>0.17821782178217821</v>
      </c>
      <c r="M8" s="5">
        <v>1150000</v>
      </c>
      <c r="N8" s="6">
        <v>0.8679</v>
      </c>
      <c r="O8" s="5">
        <v>202</v>
      </c>
      <c r="P8" s="6">
        <v>0.2</v>
      </c>
      <c r="Q8" s="5">
        <v>0</v>
      </c>
      <c r="R8" s="5">
        <v>15</v>
      </c>
      <c r="S8" s="6">
        <v>38.159999999999997</v>
      </c>
      <c r="T8" s="6">
        <v>6.55</v>
      </c>
      <c r="U8" s="5">
        <v>50</v>
      </c>
      <c r="V8" s="5">
        <v>4</v>
      </c>
      <c r="W8" s="6">
        <v>9.58</v>
      </c>
      <c r="X8" s="6">
        <v>4.8600000000000003</v>
      </c>
      <c r="Y8" s="6">
        <v>22.08</v>
      </c>
      <c r="Z8" s="6">
        <v>62.52</v>
      </c>
      <c r="AA8" s="5">
        <v>32</v>
      </c>
    </row>
    <row r="9" spans="1:27" x14ac:dyDescent="0.3">
      <c r="A9" s="3" t="s">
        <v>45</v>
      </c>
      <c r="B9" s="4" t="s">
        <v>46</v>
      </c>
      <c r="C9" s="5">
        <v>14100</v>
      </c>
      <c r="D9" s="6">
        <v>0.44062499999999988</v>
      </c>
      <c r="E9" s="5">
        <v>5400</v>
      </c>
      <c r="F9" s="5">
        <v>19500</v>
      </c>
      <c r="G9" s="5">
        <v>300</v>
      </c>
      <c r="H9" s="6">
        <v>0.56603773584905659</v>
      </c>
      <c r="I9" s="5">
        <v>70000</v>
      </c>
      <c r="J9" s="6">
        <v>2.1875</v>
      </c>
      <c r="K9" s="5">
        <v>1000</v>
      </c>
      <c r="L9" s="6">
        <v>1.8867924528301889</v>
      </c>
      <c r="M9" s="5">
        <v>3200000</v>
      </c>
      <c r="N9" s="6">
        <v>0.85870000000000002</v>
      </c>
      <c r="O9" s="5">
        <v>530</v>
      </c>
      <c r="P9" s="6">
        <v>11.5</v>
      </c>
      <c r="Q9" s="5">
        <v>125</v>
      </c>
      <c r="R9" s="5">
        <v>45</v>
      </c>
      <c r="S9" s="6">
        <v>43.76</v>
      </c>
      <c r="T9" s="6">
        <v>9.75</v>
      </c>
      <c r="U9" s="5">
        <v>40</v>
      </c>
      <c r="V9" s="5">
        <v>4</v>
      </c>
      <c r="W9" s="6">
        <v>14.33</v>
      </c>
      <c r="X9" s="6">
        <v>6.72</v>
      </c>
      <c r="Y9" s="6">
        <v>20.02</v>
      </c>
      <c r="Z9" s="6">
        <v>48.61</v>
      </c>
      <c r="AA9" s="5">
        <v>57</v>
      </c>
    </row>
    <row r="10" spans="1:27" x14ac:dyDescent="0.3">
      <c r="A10" s="3" t="s">
        <v>47</v>
      </c>
      <c r="B10" s="4" t="s">
        <v>48</v>
      </c>
      <c r="C10" s="5">
        <v>13100</v>
      </c>
      <c r="D10" s="6">
        <v>0.31951219512195123</v>
      </c>
      <c r="E10" s="5">
        <v>3200</v>
      </c>
      <c r="F10" s="5">
        <v>16300</v>
      </c>
      <c r="G10" s="5">
        <v>750</v>
      </c>
      <c r="H10" s="6">
        <v>1.6059957173447541</v>
      </c>
      <c r="I10" s="5">
        <v>95000</v>
      </c>
      <c r="J10" s="6">
        <v>2.3170731707317072</v>
      </c>
      <c r="K10" s="5">
        <v>1000</v>
      </c>
      <c r="L10" s="6">
        <v>2.141327623126339</v>
      </c>
      <c r="M10" s="5">
        <v>4100000</v>
      </c>
      <c r="N10" s="6">
        <v>0.83330000000000004</v>
      </c>
      <c r="O10" s="5">
        <v>467</v>
      </c>
      <c r="P10" s="5">
        <v>6</v>
      </c>
      <c r="Q10" s="5">
        <v>12</v>
      </c>
      <c r="R10" s="5">
        <v>65</v>
      </c>
      <c r="S10" s="6">
        <v>48.9</v>
      </c>
      <c r="T10" s="6">
        <v>10.5</v>
      </c>
      <c r="U10" s="5">
        <v>55</v>
      </c>
      <c r="V10" s="5">
        <v>19</v>
      </c>
      <c r="W10" s="6">
        <v>6.15</v>
      </c>
      <c r="X10" s="6">
        <v>6.01</v>
      </c>
      <c r="Y10" s="6">
        <v>21.51</v>
      </c>
      <c r="Z10" s="6">
        <v>35.32</v>
      </c>
      <c r="AA10" s="6">
        <v>61.97</v>
      </c>
    </row>
    <row r="11" spans="1:27" x14ac:dyDescent="0.3">
      <c r="A11" s="3" t="s">
        <v>49</v>
      </c>
      <c r="B11" s="4" t="s">
        <v>50</v>
      </c>
      <c r="C11" s="5">
        <v>6400</v>
      </c>
      <c r="D11" s="6">
        <v>0.2</v>
      </c>
      <c r="E11" s="5">
        <v>3300</v>
      </c>
      <c r="F11" s="5">
        <v>9700</v>
      </c>
      <c r="G11" s="5">
        <v>300</v>
      </c>
      <c r="H11" s="6">
        <v>1.153846153846154</v>
      </c>
      <c r="I11" s="5">
        <v>6000</v>
      </c>
      <c r="J11" s="6">
        <v>0.1875</v>
      </c>
      <c r="K11" s="5">
        <v>250</v>
      </c>
      <c r="L11" s="6">
        <v>0.96153846153846156</v>
      </c>
      <c r="M11" s="5">
        <v>3200000</v>
      </c>
      <c r="N11" s="6">
        <v>0.82</v>
      </c>
      <c r="O11" s="5">
        <v>260</v>
      </c>
      <c r="P11" s="6">
        <v>0.53</v>
      </c>
      <c r="Q11" s="6">
        <v>8.6999999999999993</v>
      </c>
      <c r="R11" s="5">
        <v>3</v>
      </c>
      <c r="S11" s="6">
        <v>86.02</v>
      </c>
      <c r="T11" s="6">
        <v>9.5</v>
      </c>
      <c r="U11" s="5">
        <v>75</v>
      </c>
      <c r="V11" s="5">
        <v>13</v>
      </c>
      <c r="W11" s="6">
        <v>6.65</v>
      </c>
      <c r="X11" s="6">
        <v>3.76</v>
      </c>
      <c r="Y11" s="6">
        <v>21.7</v>
      </c>
      <c r="Z11" s="6">
        <v>47.54</v>
      </c>
      <c r="AA11" s="6">
        <v>89.2</v>
      </c>
    </row>
    <row r="12" spans="1:27" x14ac:dyDescent="0.3">
      <c r="A12" s="3" t="s">
        <v>51</v>
      </c>
      <c r="B12" s="4" t="s">
        <v>50</v>
      </c>
      <c r="C12" s="5">
        <v>12100</v>
      </c>
      <c r="D12" s="6">
        <v>0.30249999999999999</v>
      </c>
      <c r="E12" s="5">
        <v>10100</v>
      </c>
      <c r="F12" s="5">
        <v>22200</v>
      </c>
      <c r="G12" s="5">
        <v>300</v>
      </c>
      <c r="H12" s="6">
        <v>0.47543581616481773</v>
      </c>
      <c r="I12" s="5">
        <v>72500</v>
      </c>
      <c r="J12" s="6">
        <v>1.8125</v>
      </c>
      <c r="K12" s="5">
        <v>800</v>
      </c>
      <c r="L12" s="6">
        <v>1.267828843106181</v>
      </c>
      <c r="M12" s="5">
        <v>4000000</v>
      </c>
      <c r="N12" s="6">
        <v>0.82499999999999996</v>
      </c>
      <c r="O12" s="5">
        <v>631</v>
      </c>
      <c r="P12" s="6">
        <v>0.4</v>
      </c>
      <c r="Q12" s="5">
        <v>85</v>
      </c>
      <c r="R12" s="5">
        <v>60</v>
      </c>
      <c r="S12" s="6">
        <v>47.61</v>
      </c>
      <c r="T12" s="6">
        <v>9.5</v>
      </c>
      <c r="U12" s="5">
        <v>45</v>
      </c>
      <c r="V12" s="5">
        <v>13</v>
      </c>
      <c r="W12" s="6">
        <v>8.7200000000000006</v>
      </c>
      <c r="X12" s="6">
        <v>5.73</v>
      </c>
      <c r="Y12" s="6">
        <v>20.48</v>
      </c>
      <c r="Z12" s="6">
        <v>48.85</v>
      </c>
      <c r="AA12" s="6">
        <v>78.11</v>
      </c>
    </row>
    <row r="13" spans="1:27" x14ac:dyDescent="0.3">
      <c r="A13" s="3" t="s">
        <v>52</v>
      </c>
      <c r="B13" s="4" t="s">
        <v>40</v>
      </c>
      <c r="C13" s="5">
        <v>8700</v>
      </c>
      <c r="D13" s="6">
        <v>0.48333333333333328</v>
      </c>
      <c r="E13" s="5">
        <v>1000</v>
      </c>
      <c r="F13" s="5">
        <v>9700</v>
      </c>
      <c r="G13" s="5">
        <v>130</v>
      </c>
      <c r="H13" s="6">
        <v>0.8783783783783784</v>
      </c>
      <c r="I13" s="5">
        <v>20000</v>
      </c>
      <c r="J13" s="6">
        <v>1.1111111111111109</v>
      </c>
      <c r="K13" s="5">
        <v>325</v>
      </c>
      <c r="L13" s="6">
        <v>2.1959459459459461</v>
      </c>
      <c r="M13" s="5">
        <v>1800000</v>
      </c>
      <c r="N13" s="6">
        <v>0.90910000000000002</v>
      </c>
      <c r="O13" s="5">
        <v>148</v>
      </c>
      <c r="P13" s="6">
        <v>1.25</v>
      </c>
      <c r="Q13" s="5">
        <v>0</v>
      </c>
      <c r="R13" s="5">
        <v>16</v>
      </c>
      <c r="S13" s="6">
        <v>13.6</v>
      </c>
      <c r="T13" s="6">
        <v>8.25</v>
      </c>
      <c r="U13" s="6">
        <v>47.5</v>
      </c>
      <c r="V13" s="5">
        <v>6</v>
      </c>
      <c r="W13" s="6">
        <v>6.8</v>
      </c>
      <c r="X13" s="6">
        <v>5.23</v>
      </c>
      <c r="Y13" s="6">
        <v>21.25</v>
      </c>
      <c r="Z13" s="6">
        <v>47.35</v>
      </c>
      <c r="AA13" s="6">
        <v>69.03</v>
      </c>
    </row>
    <row r="14" spans="1:27" x14ac:dyDescent="0.3">
      <c r="A14" s="3" t="s">
        <v>53</v>
      </c>
      <c r="B14" s="4" t="s">
        <v>44</v>
      </c>
      <c r="C14" s="5">
        <v>6400</v>
      </c>
      <c r="D14" s="6">
        <v>0.91428571428571437</v>
      </c>
      <c r="E14" s="5">
        <v>1200</v>
      </c>
      <c r="F14" s="5">
        <v>7600</v>
      </c>
      <c r="G14" s="5">
        <v>300</v>
      </c>
      <c r="H14" s="6">
        <v>2.255639097744361</v>
      </c>
      <c r="I14" s="5">
        <v>25000</v>
      </c>
      <c r="J14" s="6">
        <v>3.5714285714285712</v>
      </c>
      <c r="K14" s="5">
        <v>55</v>
      </c>
      <c r="L14" s="6">
        <v>0.41353383458646609</v>
      </c>
      <c r="M14" s="5">
        <v>700000</v>
      </c>
      <c r="N14" s="6">
        <v>0.93720000000000003</v>
      </c>
      <c r="O14" s="5">
        <v>133</v>
      </c>
      <c r="P14" s="6">
        <v>0.75</v>
      </c>
      <c r="Q14" s="5">
        <v>0</v>
      </c>
      <c r="R14" s="5">
        <v>22</v>
      </c>
      <c r="S14" s="6">
        <v>45.9</v>
      </c>
      <c r="T14" s="6">
        <v>9.5</v>
      </c>
      <c r="U14" s="5">
        <v>65</v>
      </c>
      <c r="V14" s="5">
        <v>4</v>
      </c>
      <c r="W14" s="6">
        <v>10.82</v>
      </c>
      <c r="X14" s="6">
        <v>5.52</v>
      </c>
      <c r="Y14" s="6">
        <v>19.12</v>
      </c>
      <c r="Z14" s="6">
        <v>25.07</v>
      </c>
      <c r="AA14" s="6">
        <v>46.25</v>
      </c>
    </row>
    <row r="15" spans="1:27" x14ac:dyDescent="0.3">
      <c r="A15" s="3" t="s">
        <v>54</v>
      </c>
      <c r="B15" s="4" t="s">
        <v>44</v>
      </c>
      <c r="C15" s="5">
        <v>2800</v>
      </c>
      <c r="D15" s="6">
        <v>0.23333333333333339</v>
      </c>
      <c r="E15" s="5">
        <v>700</v>
      </c>
      <c r="F15" s="5">
        <v>3500</v>
      </c>
      <c r="G15" s="5">
        <v>175</v>
      </c>
      <c r="H15" s="6">
        <v>1.121794871794872</v>
      </c>
      <c r="I15" s="5">
        <v>18000</v>
      </c>
      <c r="J15" s="6">
        <v>1.5</v>
      </c>
      <c r="K15" s="5">
        <v>200</v>
      </c>
      <c r="L15" s="6">
        <v>1.2820512820512819</v>
      </c>
      <c r="M15" s="5">
        <v>1200000</v>
      </c>
      <c r="N15" s="6">
        <v>0.8609</v>
      </c>
      <c r="O15" s="5">
        <v>156</v>
      </c>
      <c r="P15" s="6">
        <v>2.5</v>
      </c>
      <c r="Q15" s="5">
        <v>0</v>
      </c>
      <c r="R15" s="5">
        <v>9</v>
      </c>
      <c r="S15" s="6">
        <v>40.270000000000003</v>
      </c>
      <c r="T15" s="6">
        <v>8.5</v>
      </c>
      <c r="U15" s="6">
        <v>37.5</v>
      </c>
      <c r="V15" s="5">
        <v>4</v>
      </c>
      <c r="W15" s="6">
        <v>11.73</v>
      </c>
      <c r="X15" s="6">
        <v>3.01</v>
      </c>
      <c r="Y15" s="6">
        <v>21.46</v>
      </c>
      <c r="Z15" s="6">
        <v>50.04</v>
      </c>
      <c r="AA15" s="6">
        <v>58.57</v>
      </c>
    </row>
    <row r="16" spans="1:27" x14ac:dyDescent="0.3">
      <c r="A16" s="3" t="s">
        <v>55</v>
      </c>
      <c r="B16" s="4" t="s">
        <v>56</v>
      </c>
      <c r="C16" s="5">
        <v>15300</v>
      </c>
      <c r="D16" s="6">
        <v>0.51170568561872909</v>
      </c>
      <c r="E16" s="5">
        <v>4800</v>
      </c>
      <c r="F16" s="5">
        <v>20100</v>
      </c>
      <c r="G16" s="5">
        <v>331</v>
      </c>
      <c r="H16" s="6">
        <v>1.5183486238532109</v>
      </c>
      <c r="I16" s="5">
        <v>60000</v>
      </c>
      <c r="J16" s="6">
        <v>2.0066889632107019</v>
      </c>
      <c r="K16" s="5">
        <v>550</v>
      </c>
      <c r="L16" s="6">
        <v>2.522935779816514</v>
      </c>
      <c r="M16" s="5">
        <v>2990000</v>
      </c>
      <c r="N16" s="6">
        <v>0.91920000000000002</v>
      </c>
      <c r="O16" s="5">
        <v>218</v>
      </c>
      <c r="P16" s="5">
        <v>20</v>
      </c>
      <c r="Q16" s="5">
        <v>44</v>
      </c>
      <c r="R16" s="5">
        <v>25</v>
      </c>
      <c r="S16" s="6">
        <v>38.56</v>
      </c>
      <c r="T16" s="5">
        <v>8</v>
      </c>
      <c r="U16" s="6">
        <v>47.5</v>
      </c>
      <c r="V16" s="5">
        <v>10</v>
      </c>
      <c r="W16" s="6">
        <v>7.79</v>
      </c>
      <c r="X16" s="6">
        <v>5.57</v>
      </c>
      <c r="Y16" s="6">
        <v>20.95</v>
      </c>
      <c r="Z16" s="6">
        <v>36.770000000000003</v>
      </c>
      <c r="AA16" s="5">
        <v>70</v>
      </c>
    </row>
    <row r="17" spans="1:27" x14ac:dyDescent="0.3">
      <c r="A17" s="3" t="s">
        <v>57</v>
      </c>
      <c r="B17" s="4" t="s">
        <v>56</v>
      </c>
      <c r="C17" s="5">
        <v>14400</v>
      </c>
      <c r="D17" s="6">
        <v>0.66055045871559637</v>
      </c>
      <c r="E17" s="5">
        <v>3600</v>
      </c>
      <c r="F17" s="5">
        <v>18000</v>
      </c>
      <c r="G17" s="5">
        <v>233</v>
      </c>
      <c r="H17" s="6">
        <v>0.87265917602996257</v>
      </c>
      <c r="I17" s="5">
        <v>32500</v>
      </c>
      <c r="J17" s="6">
        <v>1.490825688073395</v>
      </c>
      <c r="K17" s="5">
        <v>250</v>
      </c>
      <c r="L17" s="6">
        <v>0.93632958801498123</v>
      </c>
      <c r="M17" s="5">
        <v>2180000</v>
      </c>
      <c r="N17" s="6">
        <v>0.89849999999999997</v>
      </c>
      <c r="O17" s="5">
        <v>267</v>
      </c>
      <c r="P17" s="6">
        <v>10.1</v>
      </c>
      <c r="Q17" s="5">
        <v>33</v>
      </c>
      <c r="R17" s="5">
        <v>6</v>
      </c>
      <c r="S17" s="6">
        <v>36.82</v>
      </c>
      <c r="T17" s="6">
        <v>7.67</v>
      </c>
      <c r="U17" s="5">
        <v>45</v>
      </c>
      <c r="V17" s="5">
        <v>10</v>
      </c>
      <c r="W17" s="6">
        <v>9.61</v>
      </c>
      <c r="X17" s="6">
        <v>2.88</v>
      </c>
      <c r="Y17" s="6">
        <v>22.36</v>
      </c>
      <c r="Z17" s="6">
        <v>22.96</v>
      </c>
      <c r="AA17" s="5">
        <v>37</v>
      </c>
    </row>
    <row r="18" spans="1:27" x14ac:dyDescent="0.3">
      <c r="A18" s="3" t="s">
        <v>58</v>
      </c>
      <c r="B18" s="4" t="s">
        <v>59</v>
      </c>
      <c r="C18" s="5">
        <v>17300</v>
      </c>
      <c r="D18" s="6">
        <v>1.696078431372549</v>
      </c>
      <c r="E18" s="5">
        <v>5900</v>
      </c>
      <c r="F18" s="5">
        <v>23200</v>
      </c>
      <c r="G18" s="5">
        <v>180</v>
      </c>
      <c r="H18" s="6">
        <v>0.83720930232558144</v>
      </c>
      <c r="I18" s="5">
        <v>57500</v>
      </c>
      <c r="J18" s="6">
        <v>5.6372549019607847</v>
      </c>
      <c r="K18" s="5">
        <v>550</v>
      </c>
      <c r="L18" s="6">
        <v>2.558139534883721</v>
      </c>
      <c r="M18" s="5">
        <v>1020000</v>
      </c>
      <c r="N18" s="6">
        <v>0.95099999999999996</v>
      </c>
      <c r="O18" s="5">
        <v>215</v>
      </c>
      <c r="P18" s="5">
        <v>1</v>
      </c>
      <c r="Q18" s="5">
        <v>0</v>
      </c>
      <c r="R18" s="5">
        <v>40</v>
      </c>
      <c r="S18" s="6">
        <v>53.73</v>
      </c>
      <c r="T18" s="5">
        <v>10</v>
      </c>
      <c r="U18" s="6">
        <v>38.5</v>
      </c>
      <c r="V18" s="5">
        <v>18</v>
      </c>
      <c r="W18" s="6">
        <v>4.47</v>
      </c>
      <c r="X18" s="6">
        <v>3.37</v>
      </c>
      <c r="Y18" s="6">
        <v>19.28</v>
      </c>
      <c r="Z18" s="6">
        <v>39.04</v>
      </c>
      <c r="AA18" s="6">
        <v>55.9</v>
      </c>
    </row>
    <row r="19" spans="1:27" x14ac:dyDescent="0.3">
      <c r="A19" s="3" t="s">
        <v>60</v>
      </c>
      <c r="B19" s="4" t="s">
        <v>61</v>
      </c>
      <c r="C19" s="5">
        <v>3500</v>
      </c>
      <c r="D19" s="6">
        <v>0.47945205479452058</v>
      </c>
      <c r="E19" s="5">
        <v>1600</v>
      </c>
      <c r="F19" s="5">
        <v>5100</v>
      </c>
      <c r="G19" s="5">
        <v>55</v>
      </c>
      <c r="H19" s="6">
        <v>1.833333333333333</v>
      </c>
      <c r="I19" s="5">
        <v>10000</v>
      </c>
      <c r="J19" s="6">
        <v>1.3698630136986301</v>
      </c>
      <c r="K19" s="5">
        <v>25</v>
      </c>
      <c r="L19" s="6">
        <v>0.83333333333333337</v>
      </c>
      <c r="M19" s="5">
        <v>730000</v>
      </c>
      <c r="N19" s="6">
        <v>0.90169999999999995</v>
      </c>
      <c r="O19" s="5">
        <v>30</v>
      </c>
      <c r="P19" s="5">
        <v>0</v>
      </c>
      <c r="Q19" s="5">
        <v>0</v>
      </c>
      <c r="R19" s="5">
        <v>2</v>
      </c>
      <c r="S19" s="6">
        <v>41.45</v>
      </c>
      <c r="T19" s="6">
        <v>6.5</v>
      </c>
      <c r="U19" s="5">
        <v>40</v>
      </c>
      <c r="V19" s="5">
        <v>1</v>
      </c>
      <c r="W19" s="6">
        <v>32.44</v>
      </c>
      <c r="X19" s="6">
        <v>4.92</v>
      </c>
      <c r="Y19" s="6">
        <v>19.61</v>
      </c>
      <c r="Z19" s="6">
        <v>39.83</v>
      </c>
      <c r="AA19" s="5">
        <v>86</v>
      </c>
    </row>
    <row r="20" spans="1:27" x14ac:dyDescent="0.3">
      <c r="A20" s="3" t="s">
        <v>62</v>
      </c>
      <c r="B20" s="4" t="s">
        <v>61</v>
      </c>
      <c r="C20" s="5">
        <v>4700</v>
      </c>
      <c r="D20" s="6">
        <v>0.22380952380952379</v>
      </c>
      <c r="E20" s="5">
        <v>2400</v>
      </c>
      <c r="F20" s="5">
        <v>7100</v>
      </c>
      <c r="G20" s="5">
        <v>220</v>
      </c>
      <c r="H20" s="6">
        <v>3.5483870967741939</v>
      </c>
      <c r="I20" s="5">
        <v>25000</v>
      </c>
      <c r="J20" s="6">
        <v>1.19047619047619</v>
      </c>
      <c r="K20" s="5">
        <v>550</v>
      </c>
      <c r="L20" s="6">
        <v>8.870967741935484</v>
      </c>
      <c r="M20" s="5">
        <v>2100000</v>
      </c>
      <c r="N20" s="6">
        <v>0.81240000000000001</v>
      </c>
      <c r="O20" s="5">
        <v>62</v>
      </c>
      <c r="P20" s="6">
        <v>0.24</v>
      </c>
      <c r="Q20" s="5">
        <v>0</v>
      </c>
      <c r="R20" s="5">
        <v>10</v>
      </c>
      <c r="S20" s="6">
        <v>44.9</v>
      </c>
      <c r="T20" s="6">
        <v>6.75</v>
      </c>
      <c r="U20" s="5">
        <v>40</v>
      </c>
      <c r="V20" s="5">
        <v>1</v>
      </c>
      <c r="W20" s="6">
        <v>16.78</v>
      </c>
      <c r="X20" s="6">
        <v>8.61</v>
      </c>
      <c r="Y20" s="6">
        <v>24.06</v>
      </c>
      <c r="Z20" s="6">
        <v>36.81</v>
      </c>
      <c r="AA20" s="6">
        <v>73.290000000000006</v>
      </c>
    </row>
    <row r="21" spans="1:27" x14ac:dyDescent="0.3">
      <c r="A21" s="3" t="s">
        <v>63</v>
      </c>
      <c r="B21" s="4" t="s">
        <v>61</v>
      </c>
      <c r="C21" s="5">
        <v>6400</v>
      </c>
      <c r="D21" s="6">
        <v>0.2807017543859649</v>
      </c>
      <c r="E21" s="5">
        <v>1300</v>
      </c>
      <c r="F21" s="5">
        <v>7700</v>
      </c>
      <c r="G21" s="5">
        <v>216</v>
      </c>
      <c r="H21" s="6">
        <v>0.3927272727272727</v>
      </c>
      <c r="I21" s="5">
        <v>55000</v>
      </c>
      <c r="J21" s="6">
        <v>2.4122807017543861</v>
      </c>
      <c r="K21" s="5">
        <v>250</v>
      </c>
      <c r="L21" s="6">
        <v>0.45454545454545447</v>
      </c>
      <c r="M21" s="5">
        <v>2280000</v>
      </c>
      <c r="N21" s="6">
        <v>0.81789999999999996</v>
      </c>
      <c r="O21" s="5">
        <v>550</v>
      </c>
      <c r="P21" s="6">
        <v>1.45</v>
      </c>
      <c r="Q21" s="5">
        <v>80</v>
      </c>
      <c r="R21" s="5">
        <v>27</v>
      </c>
      <c r="S21" s="5">
        <v>48</v>
      </c>
      <c r="T21" s="6">
        <v>9.25</v>
      </c>
      <c r="U21" s="6">
        <v>47.5</v>
      </c>
      <c r="V21" s="5">
        <v>1</v>
      </c>
      <c r="W21" s="6">
        <v>31.22</v>
      </c>
      <c r="X21" s="6">
        <v>6.58</v>
      </c>
      <c r="Y21" s="6">
        <v>24.44</v>
      </c>
      <c r="Z21" s="6">
        <v>37.799999999999997</v>
      </c>
      <c r="AA21" s="6">
        <v>65.7</v>
      </c>
    </row>
    <row r="22" spans="1:27" x14ac:dyDescent="0.3">
      <c r="A22" s="3" t="s">
        <v>64</v>
      </c>
      <c r="B22" s="4" t="s">
        <v>65</v>
      </c>
      <c r="C22" s="5">
        <v>4800</v>
      </c>
      <c r="D22" s="6">
        <v>0.48</v>
      </c>
      <c r="E22" s="5">
        <v>1000</v>
      </c>
      <c r="F22" s="5">
        <v>5800</v>
      </c>
      <c r="G22" s="5">
        <v>180</v>
      </c>
      <c r="H22" s="6">
        <v>0.44334975369458129</v>
      </c>
      <c r="I22" s="5">
        <v>35000</v>
      </c>
      <c r="J22" s="6">
        <v>3.5</v>
      </c>
      <c r="K22" s="5">
        <v>25</v>
      </c>
      <c r="L22" s="6">
        <v>6.1576354679802957E-2</v>
      </c>
      <c r="M22" s="5">
        <v>1000000</v>
      </c>
      <c r="N22" s="6">
        <v>0.83299999999999996</v>
      </c>
      <c r="O22" s="5">
        <v>406</v>
      </c>
      <c r="P22" s="6">
        <v>0.25</v>
      </c>
      <c r="Q22" s="5">
        <v>17</v>
      </c>
      <c r="R22" s="5">
        <v>0</v>
      </c>
      <c r="S22" s="6">
        <v>44.38</v>
      </c>
      <c r="T22" s="6">
        <v>9.25</v>
      </c>
      <c r="U22" s="6">
        <v>52.5</v>
      </c>
      <c r="V22" s="5">
        <v>7</v>
      </c>
      <c r="W22" s="6">
        <v>13.97</v>
      </c>
      <c r="X22" s="6">
        <v>11.17</v>
      </c>
      <c r="Y22" s="6">
        <v>18.02</v>
      </c>
      <c r="Z22" s="6">
        <v>26.13</v>
      </c>
      <c r="AA22" s="5">
        <v>68</v>
      </c>
    </row>
  </sheetData>
  <mergeCells count="6">
    <mergeCell ref="C1:H1"/>
    <mergeCell ref="V1:AA1"/>
    <mergeCell ref="I1:L1"/>
    <mergeCell ref="T1:U1"/>
    <mergeCell ref="M1:O1"/>
    <mergeCell ref="P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2" width="18" customWidth="1"/>
    <col min="3" max="5" width="12" customWidth="1"/>
    <col min="6" max="6" width="55" customWidth="1"/>
  </cols>
  <sheetData>
    <row r="1" spans="1:6" x14ac:dyDescent="0.3">
      <c r="A1" s="1" t="s">
        <v>0</v>
      </c>
      <c r="B1" s="1" t="s">
        <v>1</v>
      </c>
      <c r="C1" s="1" t="s">
        <v>66</v>
      </c>
      <c r="D1" s="1" t="s">
        <v>67</v>
      </c>
      <c r="E1" s="1" t="s">
        <v>68</v>
      </c>
      <c r="F1" s="1" t="s">
        <v>69</v>
      </c>
    </row>
    <row r="2" spans="1:6" x14ac:dyDescent="0.3">
      <c r="A2" s="3" t="s">
        <v>33</v>
      </c>
      <c r="B2" s="4" t="s">
        <v>34</v>
      </c>
      <c r="C2" s="7" t="s">
        <v>70</v>
      </c>
      <c r="D2" s="8">
        <v>23.03</v>
      </c>
      <c r="E2" s="8">
        <v>72.58</v>
      </c>
      <c r="F2" s="4" t="s">
        <v>71</v>
      </c>
    </row>
    <row r="3" spans="1:6" x14ac:dyDescent="0.3">
      <c r="A3" s="3" t="s">
        <v>35</v>
      </c>
      <c r="B3" s="4" t="s">
        <v>36</v>
      </c>
      <c r="C3" s="7" t="s">
        <v>72</v>
      </c>
      <c r="D3" s="8">
        <v>20.3</v>
      </c>
      <c r="E3" s="8">
        <v>85.85</v>
      </c>
      <c r="F3" s="4" t="s">
        <v>71</v>
      </c>
    </row>
    <row r="4" spans="1:6" x14ac:dyDescent="0.3">
      <c r="A4" s="3" t="s">
        <v>37</v>
      </c>
      <c r="B4" s="4" t="s">
        <v>38</v>
      </c>
      <c r="C4" s="7" t="s">
        <v>73</v>
      </c>
      <c r="D4" s="8">
        <v>30.74</v>
      </c>
      <c r="E4" s="8">
        <v>76.790000000000006</v>
      </c>
      <c r="F4" s="4" t="s">
        <v>74</v>
      </c>
    </row>
    <row r="5" spans="1:6" x14ac:dyDescent="0.3">
      <c r="A5" s="3" t="s">
        <v>39</v>
      </c>
      <c r="B5" s="4" t="s">
        <v>40</v>
      </c>
      <c r="C5" s="7" t="s">
        <v>75</v>
      </c>
      <c r="D5" s="8">
        <v>11.02</v>
      </c>
      <c r="E5" s="8">
        <v>76.959999999999994</v>
      </c>
      <c r="F5" s="4" t="s">
        <v>71</v>
      </c>
    </row>
    <row r="6" spans="1:6" x14ac:dyDescent="0.3">
      <c r="A6" s="3" t="s">
        <v>41</v>
      </c>
      <c r="B6" s="4" t="s">
        <v>42</v>
      </c>
      <c r="C6" s="7" t="s">
        <v>72</v>
      </c>
      <c r="D6" s="8">
        <v>26.14</v>
      </c>
      <c r="E6" s="8">
        <v>91.74</v>
      </c>
      <c r="F6" s="4" t="s">
        <v>76</v>
      </c>
    </row>
    <row r="7" spans="1:6" x14ac:dyDescent="0.3">
      <c r="A7" s="3" t="s">
        <v>43</v>
      </c>
      <c r="B7" s="4" t="s">
        <v>44</v>
      </c>
      <c r="C7" s="7" t="s">
        <v>75</v>
      </c>
      <c r="D7" s="8">
        <v>15.36</v>
      </c>
      <c r="E7" s="8">
        <v>75.13</v>
      </c>
      <c r="F7" s="4" t="s">
        <v>77</v>
      </c>
    </row>
    <row r="8" spans="1:6" x14ac:dyDescent="0.3">
      <c r="A8" s="3" t="s">
        <v>45</v>
      </c>
      <c r="B8" s="4" t="s">
        <v>46</v>
      </c>
      <c r="C8" s="7" t="s">
        <v>78</v>
      </c>
      <c r="D8" s="8">
        <v>22.72</v>
      </c>
      <c r="E8" s="8">
        <v>75.86</v>
      </c>
      <c r="F8" s="4" t="s">
        <v>71</v>
      </c>
    </row>
    <row r="9" spans="1:6" x14ac:dyDescent="0.3">
      <c r="A9" s="3" t="s">
        <v>47</v>
      </c>
      <c r="B9" s="4" t="s">
        <v>48</v>
      </c>
      <c r="C9" s="7" t="s">
        <v>73</v>
      </c>
      <c r="D9" s="8">
        <v>26.91</v>
      </c>
      <c r="E9" s="8">
        <v>75.790000000000006</v>
      </c>
      <c r="F9" s="4" t="s">
        <v>79</v>
      </c>
    </row>
    <row r="10" spans="1:6" x14ac:dyDescent="0.3">
      <c r="A10" s="3" t="s">
        <v>49</v>
      </c>
      <c r="B10" s="4" t="s">
        <v>50</v>
      </c>
      <c r="C10" s="7" t="s">
        <v>73</v>
      </c>
      <c r="D10" s="8">
        <v>26.45</v>
      </c>
      <c r="E10" s="8">
        <v>80.33</v>
      </c>
      <c r="F10" s="4" t="s">
        <v>80</v>
      </c>
    </row>
    <row r="11" spans="1:6" x14ac:dyDescent="0.3">
      <c r="A11" s="3" t="s">
        <v>51</v>
      </c>
      <c r="B11" s="4" t="s">
        <v>50</v>
      </c>
      <c r="C11" s="7" t="s">
        <v>73</v>
      </c>
      <c r="D11" s="8">
        <v>26.85</v>
      </c>
      <c r="E11" s="8">
        <v>80.95</v>
      </c>
      <c r="F11" s="4" t="s">
        <v>80</v>
      </c>
    </row>
    <row r="12" spans="1:6" x14ac:dyDescent="0.3">
      <c r="A12" s="3" t="s">
        <v>52</v>
      </c>
      <c r="B12" s="4" t="s">
        <v>40</v>
      </c>
      <c r="C12" s="7" t="s">
        <v>75</v>
      </c>
      <c r="D12" s="8">
        <v>9.93</v>
      </c>
      <c r="E12" s="8">
        <v>78.12</v>
      </c>
      <c r="F12" s="4" t="s">
        <v>81</v>
      </c>
    </row>
    <row r="13" spans="1:6" x14ac:dyDescent="0.3">
      <c r="A13" s="3" t="s">
        <v>53</v>
      </c>
      <c r="B13" s="4" t="s">
        <v>44</v>
      </c>
      <c r="C13" s="7" t="s">
        <v>75</v>
      </c>
      <c r="D13" s="8">
        <v>12.87</v>
      </c>
      <c r="E13" s="8">
        <v>74.88</v>
      </c>
      <c r="F13" s="4" t="s">
        <v>76</v>
      </c>
    </row>
    <row r="14" spans="1:6" x14ac:dyDescent="0.3">
      <c r="A14" s="3" t="s">
        <v>54</v>
      </c>
      <c r="B14" s="4" t="s">
        <v>44</v>
      </c>
      <c r="C14" s="7" t="s">
        <v>75</v>
      </c>
      <c r="D14" s="8">
        <v>12.3</v>
      </c>
      <c r="E14" s="8">
        <v>76.64</v>
      </c>
      <c r="F14" s="4" t="s">
        <v>76</v>
      </c>
    </row>
    <row r="15" spans="1:6" x14ac:dyDescent="0.3">
      <c r="A15" s="3" t="s">
        <v>55</v>
      </c>
      <c r="B15" s="4" t="s">
        <v>56</v>
      </c>
      <c r="C15" s="7" t="s">
        <v>70</v>
      </c>
      <c r="D15" s="8">
        <v>21.15</v>
      </c>
      <c r="E15" s="8">
        <v>79.09</v>
      </c>
      <c r="F15" s="4" t="s">
        <v>71</v>
      </c>
    </row>
    <row r="16" spans="1:6" x14ac:dyDescent="0.3">
      <c r="A16" s="3" t="s">
        <v>57</v>
      </c>
      <c r="B16" s="4" t="s">
        <v>56</v>
      </c>
      <c r="C16" s="7" t="s">
        <v>70</v>
      </c>
      <c r="D16" s="8">
        <v>19.989999999999998</v>
      </c>
      <c r="E16" s="8">
        <v>73.790000000000006</v>
      </c>
      <c r="F16" s="4" t="s">
        <v>71</v>
      </c>
    </row>
    <row r="17" spans="1:6" x14ac:dyDescent="0.3">
      <c r="A17" s="3" t="s">
        <v>58</v>
      </c>
      <c r="B17" s="4" t="s">
        <v>59</v>
      </c>
      <c r="C17" s="7" t="s">
        <v>75</v>
      </c>
      <c r="D17" s="8">
        <v>8.52</v>
      </c>
      <c r="E17" s="8">
        <v>76.94</v>
      </c>
      <c r="F17" s="4" t="s">
        <v>74</v>
      </c>
    </row>
    <row r="18" spans="1:6" x14ac:dyDescent="0.3">
      <c r="A18" s="3" t="s">
        <v>60</v>
      </c>
      <c r="B18" s="4" t="s">
        <v>61</v>
      </c>
      <c r="C18" s="7" t="s">
        <v>75</v>
      </c>
      <c r="D18" s="8">
        <v>13.63</v>
      </c>
      <c r="E18" s="8">
        <v>79.42</v>
      </c>
      <c r="F18" s="4" t="s">
        <v>82</v>
      </c>
    </row>
    <row r="19" spans="1:6" x14ac:dyDescent="0.3">
      <c r="A19" s="3" t="s">
        <v>62</v>
      </c>
      <c r="B19" s="4" t="s">
        <v>61</v>
      </c>
      <c r="C19" s="7" t="s">
        <v>75</v>
      </c>
      <c r="D19" s="8">
        <v>16.510000000000002</v>
      </c>
      <c r="E19" s="8">
        <v>80.62</v>
      </c>
      <c r="F19" s="4" t="s">
        <v>83</v>
      </c>
    </row>
    <row r="20" spans="1:6" x14ac:dyDescent="0.3">
      <c r="A20" s="3" t="s">
        <v>63</v>
      </c>
      <c r="B20" s="4" t="s">
        <v>61</v>
      </c>
      <c r="C20" s="7" t="s">
        <v>75</v>
      </c>
      <c r="D20" s="8">
        <v>17.690000000000001</v>
      </c>
      <c r="E20" s="8">
        <v>83.22</v>
      </c>
      <c r="F20" s="4" t="s">
        <v>71</v>
      </c>
    </row>
    <row r="21" spans="1:6" x14ac:dyDescent="0.3">
      <c r="A21" s="3" t="s">
        <v>64</v>
      </c>
      <c r="B21" s="4" t="s">
        <v>65</v>
      </c>
      <c r="C21" s="7" t="s">
        <v>75</v>
      </c>
      <c r="D21" s="8">
        <v>17.97</v>
      </c>
      <c r="E21" s="8">
        <v>79.599999999999994</v>
      </c>
      <c r="F21" s="4" t="s">
        <v>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42" customWidth="1"/>
    <col min="3" max="3" width="22" customWidth="1"/>
    <col min="4" max="4" width="18" customWidth="1"/>
    <col min="5" max="5" width="14" customWidth="1"/>
    <col min="6" max="6" width="50" customWidth="1"/>
  </cols>
  <sheetData>
    <row r="1" spans="1:6" ht="26.4" x14ac:dyDescent="0.3">
      <c r="A1" s="1" t="s">
        <v>85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</row>
    <row r="2" spans="1:6" x14ac:dyDescent="0.3">
      <c r="A2" s="9" t="s">
        <v>91</v>
      </c>
      <c r="B2" s="10" t="s">
        <v>9</v>
      </c>
      <c r="C2" s="10" t="s">
        <v>92</v>
      </c>
      <c r="D2" s="9" t="s">
        <v>93</v>
      </c>
      <c r="E2" s="10" t="s">
        <v>94</v>
      </c>
      <c r="F2" s="10" t="s">
        <v>95</v>
      </c>
    </row>
    <row r="3" spans="1:6" x14ac:dyDescent="0.3">
      <c r="A3" s="9" t="s">
        <v>96</v>
      </c>
      <c r="B3" s="10" t="s">
        <v>15</v>
      </c>
      <c r="C3" s="10" t="s">
        <v>92</v>
      </c>
      <c r="D3" s="9" t="s">
        <v>93</v>
      </c>
      <c r="E3" s="10" t="s">
        <v>94</v>
      </c>
      <c r="F3" s="10" t="s">
        <v>97</v>
      </c>
    </row>
    <row r="4" spans="1:6" x14ac:dyDescent="0.3">
      <c r="A4" s="9" t="s">
        <v>98</v>
      </c>
      <c r="B4" s="10" t="s">
        <v>19</v>
      </c>
      <c r="C4" s="10" t="s">
        <v>92</v>
      </c>
      <c r="D4" s="9" t="s">
        <v>93</v>
      </c>
      <c r="E4" s="10" t="s">
        <v>99</v>
      </c>
      <c r="F4" s="10" t="s">
        <v>100</v>
      </c>
    </row>
    <row r="5" spans="1:6" x14ac:dyDescent="0.3">
      <c r="A5" s="9" t="s">
        <v>101</v>
      </c>
      <c r="B5" s="10" t="s">
        <v>13</v>
      </c>
      <c r="C5" s="10" t="s">
        <v>92</v>
      </c>
      <c r="D5" s="9" t="s">
        <v>93</v>
      </c>
      <c r="E5" s="10" t="s">
        <v>102</v>
      </c>
      <c r="F5" s="10" t="s">
        <v>103</v>
      </c>
    </row>
    <row r="6" spans="1:6" x14ac:dyDescent="0.3">
      <c r="A6" s="11" t="s">
        <v>104</v>
      </c>
      <c r="B6" s="12" t="s">
        <v>25</v>
      </c>
      <c r="C6" s="12" t="s">
        <v>105</v>
      </c>
      <c r="D6" s="11" t="s">
        <v>106</v>
      </c>
      <c r="E6" s="12" t="s">
        <v>107</v>
      </c>
      <c r="F6" s="12" t="s">
        <v>108</v>
      </c>
    </row>
    <row r="7" spans="1:6" x14ac:dyDescent="0.3">
      <c r="A7" s="11" t="s">
        <v>109</v>
      </c>
      <c r="B7" s="12" t="s">
        <v>26</v>
      </c>
      <c r="C7" s="12" t="s">
        <v>105</v>
      </c>
      <c r="D7" s="11" t="s">
        <v>106</v>
      </c>
      <c r="E7" s="12" t="s">
        <v>110</v>
      </c>
      <c r="F7" s="12" t="s">
        <v>111</v>
      </c>
    </row>
    <row r="8" spans="1:6" x14ac:dyDescent="0.3">
      <c r="A8" s="11" t="s">
        <v>112</v>
      </c>
      <c r="B8" s="12" t="s">
        <v>30</v>
      </c>
      <c r="C8" s="12" t="s">
        <v>105</v>
      </c>
      <c r="D8" s="11" t="s">
        <v>106</v>
      </c>
      <c r="E8" s="12" t="s">
        <v>113</v>
      </c>
      <c r="F8" s="12" t="s">
        <v>114</v>
      </c>
    </row>
    <row r="9" spans="1:6" x14ac:dyDescent="0.3">
      <c r="A9" s="13" t="s">
        <v>115</v>
      </c>
      <c r="B9" s="14" t="s">
        <v>22</v>
      </c>
      <c r="C9" s="14" t="s">
        <v>5</v>
      </c>
      <c r="D9" s="13" t="s">
        <v>93</v>
      </c>
      <c r="E9" s="14" t="s">
        <v>116</v>
      </c>
      <c r="F9" s="14" t="s">
        <v>117</v>
      </c>
    </row>
    <row r="10" spans="1:6" x14ac:dyDescent="0.3">
      <c r="A10" s="13" t="s">
        <v>118</v>
      </c>
      <c r="B10" s="14" t="s">
        <v>23</v>
      </c>
      <c r="C10" s="14" t="s">
        <v>5</v>
      </c>
      <c r="D10" s="13" t="s">
        <v>93</v>
      </c>
      <c r="E10" s="14" t="s">
        <v>119</v>
      </c>
      <c r="F10" s="14" t="s">
        <v>120</v>
      </c>
    </row>
    <row r="11" spans="1:6" x14ac:dyDescent="0.3">
      <c r="A11" s="13" t="s">
        <v>121</v>
      </c>
      <c r="B11" s="14" t="s">
        <v>24</v>
      </c>
      <c r="C11" s="14" t="s">
        <v>5</v>
      </c>
      <c r="D11" s="13" t="s">
        <v>93</v>
      </c>
      <c r="E11" s="14" t="s">
        <v>122</v>
      </c>
      <c r="F11" s="14" t="s">
        <v>123</v>
      </c>
    </row>
    <row r="12" spans="1:6" x14ac:dyDescent="0.3">
      <c r="A12" s="13" t="s">
        <v>124</v>
      </c>
      <c r="B12" s="14" t="s">
        <v>21</v>
      </c>
      <c r="C12" s="14" t="s">
        <v>5</v>
      </c>
      <c r="D12" s="13" t="s">
        <v>93</v>
      </c>
      <c r="E12" s="14" t="s">
        <v>125</v>
      </c>
      <c r="F12" s="14" t="s">
        <v>126</v>
      </c>
    </row>
    <row r="13" spans="1:6" x14ac:dyDescent="0.3">
      <c r="A13" s="13" t="s">
        <v>127</v>
      </c>
      <c r="B13" s="14" t="s">
        <v>27</v>
      </c>
      <c r="C13" s="14" t="s">
        <v>5</v>
      </c>
      <c r="D13" s="13" t="s">
        <v>106</v>
      </c>
      <c r="E13" s="14" t="s">
        <v>128</v>
      </c>
      <c r="F13" s="14" t="s">
        <v>129</v>
      </c>
    </row>
    <row r="14" spans="1:6" x14ac:dyDescent="0.3">
      <c r="A14" s="15" t="s">
        <v>130</v>
      </c>
      <c r="B14" s="16" t="s">
        <v>17</v>
      </c>
      <c r="C14" s="16" t="s">
        <v>131</v>
      </c>
      <c r="D14" s="15" t="s">
        <v>93</v>
      </c>
      <c r="E14" s="16" t="s">
        <v>132</v>
      </c>
      <c r="F14" s="16" t="s">
        <v>133</v>
      </c>
    </row>
    <row r="15" spans="1:6" x14ac:dyDescent="0.3">
      <c r="A15" s="15" t="s">
        <v>134</v>
      </c>
      <c r="B15" s="16" t="s">
        <v>28</v>
      </c>
      <c r="C15" s="16" t="s">
        <v>131</v>
      </c>
      <c r="D15" s="15" t="s">
        <v>93</v>
      </c>
      <c r="E15" s="16" t="s">
        <v>113</v>
      </c>
      <c r="F15" s="16" t="s">
        <v>135</v>
      </c>
    </row>
    <row r="16" spans="1:6" x14ac:dyDescent="0.3">
      <c r="A16" s="15" t="s">
        <v>136</v>
      </c>
      <c r="B16" s="16" t="s">
        <v>29</v>
      </c>
      <c r="C16" s="16" t="s">
        <v>131</v>
      </c>
      <c r="D16" s="15" t="s">
        <v>93</v>
      </c>
      <c r="E16" s="16" t="s">
        <v>113</v>
      </c>
      <c r="F16" s="16" t="s">
        <v>137</v>
      </c>
    </row>
    <row r="17" spans="1:6" x14ac:dyDescent="0.3">
      <c r="A17" s="17" t="s">
        <v>138</v>
      </c>
      <c r="B17" s="18" t="s">
        <v>31</v>
      </c>
      <c r="C17" s="18" t="s">
        <v>139</v>
      </c>
      <c r="D17" s="17" t="s">
        <v>106</v>
      </c>
      <c r="E17" s="18" t="s">
        <v>113</v>
      </c>
      <c r="F17" s="18" t="s">
        <v>140</v>
      </c>
    </row>
    <row r="18" spans="1:6" x14ac:dyDescent="0.3">
      <c r="A18" s="17" t="s">
        <v>141</v>
      </c>
      <c r="B18" s="18" t="s">
        <v>32</v>
      </c>
      <c r="C18" s="18" t="s">
        <v>139</v>
      </c>
      <c r="D18" s="17" t="s">
        <v>106</v>
      </c>
      <c r="E18" s="18" t="s">
        <v>113</v>
      </c>
      <c r="F18" s="18" t="s">
        <v>142</v>
      </c>
    </row>
    <row r="19" spans="1:6" x14ac:dyDescent="0.3">
      <c r="A19" s="17" t="s">
        <v>143</v>
      </c>
      <c r="B19" s="18" t="s">
        <v>30</v>
      </c>
      <c r="C19" s="18" t="s">
        <v>139</v>
      </c>
      <c r="D19" s="17" t="s">
        <v>106</v>
      </c>
      <c r="E19" s="18" t="s">
        <v>113</v>
      </c>
      <c r="F19" s="18" t="s">
        <v>144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20" customWidth="1"/>
    <col min="3" max="3" width="14" customWidth="1"/>
    <col min="4" max="5" width="17" customWidth="1"/>
    <col min="6" max="6" width="14" customWidth="1"/>
    <col min="7" max="7" width="22" customWidth="1"/>
  </cols>
  <sheetData>
    <row r="1" spans="1:7" ht="26.4" x14ac:dyDescent="0.3">
      <c r="A1" s="1" t="s">
        <v>0</v>
      </c>
      <c r="B1" s="19" t="s">
        <v>92</v>
      </c>
      <c r="C1" s="20" t="s">
        <v>105</v>
      </c>
      <c r="D1" s="21" t="s">
        <v>5</v>
      </c>
      <c r="E1" s="22" t="s">
        <v>131</v>
      </c>
      <c r="F1" s="23" t="s">
        <v>139</v>
      </c>
      <c r="G1" s="1" t="s">
        <v>145</v>
      </c>
    </row>
    <row r="2" spans="1:7" x14ac:dyDescent="0.3">
      <c r="A2" s="3" t="s">
        <v>53</v>
      </c>
      <c r="B2" s="24">
        <v>64.86</v>
      </c>
      <c r="C2" s="24">
        <v>49.29</v>
      </c>
      <c r="D2" s="25">
        <v>31.62</v>
      </c>
      <c r="E2" s="25">
        <v>16.260000000000002</v>
      </c>
      <c r="F2" s="26">
        <v>84.21</v>
      </c>
      <c r="G2" s="27">
        <v>49.25</v>
      </c>
    </row>
    <row r="3" spans="1:7" x14ac:dyDescent="0.3">
      <c r="A3" s="3" t="s">
        <v>58</v>
      </c>
      <c r="B3" s="26">
        <v>78.25</v>
      </c>
      <c r="C3" s="24">
        <v>61.96</v>
      </c>
      <c r="D3" s="25">
        <v>25.14</v>
      </c>
      <c r="E3" s="25">
        <v>11.04</v>
      </c>
      <c r="F3" s="26">
        <v>65.98</v>
      </c>
      <c r="G3" s="27">
        <v>48.47</v>
      </c>
    </row>
    <row r="4" spans="1:7" x14ac:dyDescent="0.3">
      <c r="A4" s="3" t="s">
        <v>60</v>
      </c>
      <c r="B4" s="25">
        <v>37.97</v>
      </c>
      <c r="C4" s="26">
        <v>88.41</v>
      </c>
      <c r="D4" s="25">
        <v>28.12</v>
      </c>
      <c r="E4" s="25">
        <v>37.43</v>
      </c>
      <c r="F4" s="24">
        <v>46.06</v>
      </c>
      <c r="G4" s="27">
        <v>47.6</v>
      </c>
    </row>
    <row r="5" spans="1:7" x14ac:dyDescent="0.3">
      <c r="A5" s="3" t="s">
        <v>41</v>
      </c>
      <c r="B5" s="25">
        <v>30.59</v>
      </c>
      <c r="C5" s="26">
        <v>69.790000000000006</v>
      </c>
      <c r="D5" s="25">
        <v>23.19</v>
      </c>
      <c r="E5" s="24">
        <v>47.2</v>
      </c>
      <c r="F5" s="24">
        <v>61.16</v>
      </c>
      <c r="G5" s="27">
        <v>46.39</v>
      </c>
    </row>
    <row r="6" spans="1:7" x14ac:dyDescent="0.3">
      <c r="A6" s="3" t="s">
        <v>45</v>
      </c>
      <c r="B6" s="25">
        <v>23.3</v>
      </c>
      <c r="C6" s="24">
        <v>59.2</v>
      </c>
      <c r="D6" s="24">
        <v>63.68</v>
      </c>
      <c r="E6" s="25">
        <v>29.24</v>
      </c>
      <c r="F6" s="24">
        <v>53.43</v>
      </c>
      <c r="G6" s="27">
        <v>45.77</v>
      </c>
    </row>
    <row r="7" spans="1:7" x14ac:dyDescent="0.3">
      <c r="A7" s="3" t="s">
        <v>39</v>
      </c>
      <c r="B7" s="24">
        <v>59.42</v>
      </c>
      <c r="C7" s="25">
        <v>24.62</v>
      </c>
      <c r="D7" s="24">
        <v>51.69</v>
      </c>
      <c r="E7" s="25">
        <v>31.04</v>
      </c>
      <c r="F7" s="24">
        <v>61.72</v>
      </c>
      <c r="G7" s="27">
        <v>45.7</v>
      </c>
    </row>
    <row r="8" spans="1:7" x14ac:dyDescent="0.3">
      <c r="A8" s="3" t="s">
        <v>55</v>
      </c>
      <c r="B8" s="25">
        <v>42.07</v>
      </c>
      <c r="C8" s="24">
        <v>63.95</v>
      </c>
      <c r="D8" s="24">
        <v>50.02</v>
      </c>
      <c r="E8" s="25">
        <v>21.39</v>
      </c>
      <c r="F8" s="24">
        <v>51.01</v>
      </c>
      <c r="G8" s="27">
        <v>45.69</v>
      </c>
    </row>
    <row r="9" spans="1:7" x14ac:dyDescent="0.3">
      <c r="A9" s="3" t="s">
        <v>64</v>
      </c>
      <c r="B9" s="25">
        <v>24.35</v>
      </c>
      <c r="C9" s="26">
        <v>65.42</v>
      </c>
      <c r="D9" s="25">
        <v>25.61</v>
      </c>
      <c r="E9" s="25">
        <v>36.479999999999997</v>
      </c>
      <c r="F9" s="26">
        <v>76.349999999999994</v>
      </c>
      <c r="G9" s="27">
        <v>45.64</v>
      </c>
    </row>
    <row r="10" spans="1:7" x14ac:dyDescent="0.3">
      <c r="A10" s="3" t="s">
        <v>62</v>
      </c>
      <c r="B10" s="25">
        <v>30.49</v>
      </c>
      <c r="C10" s="24">
        <v>63.22</v>
      </c>
      <c r="D10" s="25">
        <v>31.01</v>
      </c>
      <c r="E10" s="24">
        <v>64.27</v>
      </c>
      <c r="F10" s="25">
        <v>32.909999999999997</v>
      </c>
      <c r="G10" s="28">
        <v>44.38</v>
      </c>
    </row>
    <row r="11" spans="1:7" x14ac:dyDescent="0.3">
      <c r="A11" s="3" t="s">
        <v>35</v>
      </c>
      <c r="B11" s="26">
        <v>80.069999999999993</v>
      </c>
      <c r="C11" s="25">
        <v>34.31</v>
      </c>
      <c r="D11" s="25">
        <v>34.92</v>
      </c>
      <c r="E11" s="25">
        <v>11.66</v>
      </c>
      <c r="F11" s="24">
        <v>59.34</v>
      </c>
      <c r="G11" s="28">
        <v>44.06</v>
      </c>
    </row>
    <row r="12" spans="1:7" x14ac:dyDescent="0.3">
      <c r="A12" s="3" t="s">
        <v>33</v>
      </c>
      <c r="B12" s="25">
        <v>22.33</v>
      </c>
      <c r="C12" s="25">
        <v>32.6</v>
      </c>
      <c r="D12" s="24">
        <v>59.92</v>
      </c>
      <c r="E12" s="24">
        <v>63.14</v>
      </c>
      <c r="F12" s="25">
        <v>39.29</v>
      </c>
      <c r="G12" s="28">
        <v>43.46</v>
      </c>
    </row>
    <row r="13" spans="1:7" x14ac:dyDescent="0.3">
      <c r="A13" s="3" t="s">
        <v>57</v>
      </c>
      <c r="B13" s="25">
        <v>33.270000000000003</v>
      </c>
      <c r="C13" s="24">
        <v>61.05</v>
      </c>
      <c r="D13" s="25">
        <v>34.1</v>
      </c>
      <c r="E13" s="25">
        <v>8.43</v>
      </c>
      <c r="F13" s="26">
        <v>74.55</v>
      </c>
      <c r="G13" s="28">
        <v>42.28</v>
      </c>
    </row>
    <row r="14" spans="1:7" x14ac:dyDescent="0.3">
      <c r="A14" s="3" t="s">
        <v>37</v>
      </c>
      <c r="B14" s="25">
        <v>33.700000000000003</v>
      </c>
      <c r="C14" s="25">
        <v>20.02</v>
      </c>
      <c r="D14" s="25">
        <v>18.7</v>
      </c>
      <c r="E14" s="24">
        <v>52.25</v>
      </c>
      <c r="F14" s="24">
        <v>48.1</v>
      </c>
      <c r="G14" s="28">
        <v>34.549999999999997</v>
      </c>
    </row>
    <row r="15" spans="1:7" x14ac:dyDescent="0.3">
      <c r="A15" s="3" t="s">
        <v>63</v>
      </c>
      <c r="B15" s="25">
        <v>13.01</v>
      </c>
      <c r="C15" s="25">
        <v>35.42</v>
      </c>
      <c r="D15" s="24">
        <v>47.58</v>
      </c>
      <c r="E15" s="25">
        <v>40.19</v>
      </c>
      <c r="F15" s="25">
        <v>34.520000000000003</v>
      </c>
      <c r="G15" s="28">
        <v>34.14</v>
      </c>
    </row>
    <row r="16" spans="1:7" x14ac:dyDescent="0.3">
      <c r="A16" s="3" t="s">
        <v>54</v>
      </c>
      <c r="B16" s="25">
        <v>21.59</v>
      </c>
      <c r="C16" s="24">
        <v>63.81</v>
      </c>
      <c r="D16" s="25">
        <v>29.05</v>
      </c>
      <c r="E16" s="25">
        <v>12.27</v>
      </c>
      <c r="F16" s="25">
        <v>43.84</v>
      </c>
      <c r="G16" s="28">
        <v>34.11</v>
      </c>
    </row>
    <row r="17" spans="1:7" x14ac:dyDescent="0.3">
      <c r="A17" s="3" t="s">
        <v>52</v>
      </c>
      <c r="B17" s="25">
        <v>30.62</v>
      </c>
      <c r="C17" s="24">
        <v>60.31</v>
      </c>
      <c r="D17" s="25">
        <v>20.11</v>
      </c>
      <c r="E17" s="25">
        <v>18.05</v>
      </c>
      <c r="F17" s="25">
        <v>41.1</v>
      </c>
      <c r="G17" s="28">
        <v>34.04</v>
      </c>
    </row>
    <row r="18" spans="1:7" x14ac:dyDescent="0.3">
      <c r="A18" s="3" t="s">
        <v>43</v>
      </c>
      <c r="B18" s="25">
        <v>16.54</v>
      </c>
      <c r="C18" s="26">
        <v>68.5</v>
      </c>
      <c r="D18" s="25">
        <v>27.45</v>
      </c>
      <c r="E18" s="25">
        <v>11.98</v>
      </c>
      <c r="F18" s="24">
        <v>45.59</v>
      </c>
      <c r="G18" s="28">
        <v>34.01</v>
      </c>
    </row>
    <row r="19" spans="1:7" x14ac:dyDescent="0.3">
      <c r="A19" s="3" t="s">
        <v>47</v>
      </c>
      <c r="B19" s="25">
        <v>25.59</v>
      </c>
      <c r="C19" s="25">
        <v>35.21</v>
      </c>
      <c r="D19" s="25">
        <v>34.85</v>
      </c>
      <c r="E19" s="25">
        <v>19.739999999999998</v>
      </c>
      <c r="F19" s="24">
        <v>54</v>
      </c>
      <c r="G19" s="28">
        <v>33.880000000000003</v>
      </c>
    </row>
    <row r="20" spans="1:7" x14ac:dyDescent="0.3">
      <c r="A20" s="3" t="s">
        <v>51</v>
      </c>
      <c r="B20" s="25">
        <v>12.54</v>
      </c>
      <c r="C20" s="24">
        <v>55.56</v>
      </c>
      <c r="D20" s="25">
        <v>43.21</v>
      </c>
      <c r="E20" s="25">
        <v>18.079999999999998</v>
      </c>
      <c r="F20" s="25">
        <v>38.54</v>
      </c>
      <c r="G20" s="28">
        <v>33.590000000000003</v>
      </c>
    </row>
    <row r="21" spans="1:7" x14ac:dyDescent="0.3">
      <c r="A21" s="3" t="s">
        <v>49</v>
      </c>
      <c r="B21" s="25">
        <v>7.9</v>
      </c>
      <c r="C21" s="25">
        <v>29.23</v>
      </c>
      <c r="D21" s="25">
        <v>31.44</v>
      </c>
      <c r="E21" s="25">
        <v>8.44</v>
      </c>
      <c r="F21" s="25">
        <v>26.85</v>
      </c>
      <c r="G21" s="28">
        <v>20.77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55" customWidth="1"/>
    <col min="3" max="3" width="22" customWidth="1"/>
    <col min="4" max="4" width="14" customWidth="1"/>
    <col min="5" max="6" width="17" customWidth="1"/>
    <col min="7" max="7" width="14" customWidth="1"/>
    <col min="8" max="8" width="18" customWidth="1"/>
  </cols>
  <sheetData>
    <row r="1" spans="1:8" x14ac:dyDescent="0.3">
      <c r="A1" s="1" t="s">
        <v>146</v>
      </c>
      <c r="B1" s="1" t="s">
        <v>147</v>
      </c>
      <c r="C1" s="1" t="s">
        <v>92</v>
      </c>
      <c r="D1" s="1" t="s">
        <v>105</v>
      </c>
      <c r="E1" s="1" t="s">
        <v>5</v>
      </c>
      <c r="F1" s="1" t="s">
        <v>131</v>
      </c>
      <c r="G1" s="1" t="s">
        <v>139</v>
      </c>
      <c r="H1" s="1" t="s">
        <v>148</v>
      </c>
    </row>
    <row r="2" spans="1:8" x14ac:dyDescent="0.3">
      <c r="A2" s="29" t="s">
        <v>149</v>
      </c>
      <c r="B2" s="30" t="s">
        <v>150</v>
      </c>
      <c r="C2" s="31">
        <v>35</v>
      </c>
      <c r="D2" s="31">
        <v>25</v>
      </c>
      <c r="E2" s="31">
        <v>20</v>
      </c>
      <c r="F2" s="31">
        <v>15</v>
      </c>
      <c r="G2" s="31">
        <v>5</v>
      </c>
      <c r="H2" s="32">
        <f t="shared" ref="H2:H8" si="0">SUM(C2:G2)</f>
        <v>100</v>
      </c>
    </row>
    <row r="3" spans="1:8" ht="26.4" x14ac:dyDescent="0.3">
      <c r="A3" s="29" t="s">
        <v>151</v>
      </c>
      <c r="B3" s="30" t="s">
        <v>152</v>
      </c>
      <c r="C3" s="31">
        <v>25</v>
      </c>
      <c r="D3" s="31">
        <v>30</v>
      </c>
      <c r="E3" s="31">
        <v>25</v>
      </c>
      <c r="F3" s="31">
        <v>10</v>
      </c>
      <c r="G3" s="31">
        <v>10</v>
      </c>
      <c r="H3" s="32">
        <f t="shared" si="0"/>
        <v>100</v>
      </c>
    </row>
    <row r="4" spans="1:8" x14ac:dyDescent="0.3">
      <c r="A4" s="29" t="s">
        <v>153</v>
      </c>
      <c r="B4" s="30" t="s">
        <v>154</v>
      </c>
      <c r="C4" s="31">
        <v>40</v>
      </c>
      <c r="D4" s="31">
        <v>20</v>
      </c>
      <c r="E4" s="31">
        <v>20</v>
      </c>
      <c r="F4" s="31">
        <v>15</v>
      </c>
      <c r="G4" s="31">
        <v>5</v>
      </c>
      <c r="H4" s="32">
        <f t="shared" si="0"/>
        <v>100</v>
      </c>
    </row>
    <row r="5" spans="1:8" x14ac:dyDescent="0.3">
      <c r="A5" s="29" t="s">
        <v>155</v>
      </c>
      <c r="B5" s="30" t="s">
        <v>156</v>
      </c>
      <c r="C5" s="31">
        <v>35</v>
      </c>
      <c r="D5" s="31">
        <v>20</v>
      </c>
      <c r="E5" s="31">
        <v>25</v>
      </c>
      <c r="F5" s="31">
        <v>15</v>
      </c>
      <c r="G5" s="31">
        <v>5</v>
      </c>
      <c r="H5" s="32">
        <f t="shared" si="0"/>
        <v>100</v>
      </c>
    </row>
    <row r="6" spans="1:8" x14ac:dyDescent="0.3">
      <c r="A6" s="29" t="s">
        <v>157</v>
      </c>
      <c r="B6" s="30" t="s">
        <v>158</v>
      </c>
      <c r="C6" s="31">
        <v>20</v>
      </c>
      <c r="D6" s="31">
        <v>35</v>
      </c>
      <c r="E6" s="31">
        <v>20</v>
      </c>
      <c r="F6" s="31">
        <v>10</v>
      </c>
      <c r="G6" s="31">
        <v>15</v>
      </c>
      <c r="H6" s="32">
        <f t="shared" si="0"/>
        <v>100</v>
      </c>
    </row>
    <row r="7" spans="1:8" x14ac:dyDescent="0.3">
      <c r="A7" s="29" t="s">
        <v>159</v>
      </c>
      <c r="B7" s="30" t="s">
        <v>160</v>
      </c>
      <c r="C7" s="31">
        <v>30</v>
      </c>
      <c r="D7" s="31">
        <v>20</v>
      </c>
      <c r="E7" s="31">
        <v>20</v>
      </c>
      <c r="F7" s="31">
        <v>20</v>
      </c>
      <c r="G7" s="31">
        <v>10</v>
      </c>
      <c r="H7" s="32">
        <f t="shared" si="0"/>
        <v>100</v>
      </c>
    </row>
    <row r="8" spans="1:8" x14ac:dyDescent="0.3">
      <c r="A8" s="33" t="s">
        <v>161</v>
      </c>
      <c r="B8" s="34" t="s">
        <v>162</v>
      </c>
      <c r="C8" s="35">
        <v>20</v>
      </c>
      <c r="D8" s="35">
        <v>20</v>
      </c>
      <c r="E8" s="35">
        <v>20</v>
      </c>
      <c r="F8" s="35">
        <v>20</v>
      </c>
      <c r="G8" s="35">
        <v>20</v>
      </c>
      <c r="H8" s="32">
        <f t="shared" si="0"/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2"/>
  <sheetViews>
    <sheetView workbookViewId="0">
      <pane xSplit="1" ySplit="2" topLeftCell="B3" activePane="bottomRight" state="frozen"/>
      <selection pane="topRight"/>
      <selection pane="bottomLeft"/>
      <selection pane="bottomRight" sqref="A1:A2"/>
    </sheetView>
  </sheetViews>
  <sheetFormatPr defaultRowHeight="14.4" x14ac:dyDescent="0.3"/>
  <cols>
    <col min="1" max="1" width="22" customWidth="1"/>
    <col min="2" max="7" width="20" customWidth="1"/>
  </cols>
  <sheetData>
    <row r="1" spans="1:7" ht="26.4" x14ac:dyDescent="0.3">
      <c r="A1" s="56" t="s">
        <v>0</v>
      </c>
      <c r="B1" s="1" t="s">
        <v>163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</row>
    <row r="2" spans="1:7" ht="49.95" customHeight="1" x14ac:dyDescent="0.3">
      <c r="A2" s="59"/>
      <c r="B2" s="36" t="s">
        <v>169</v>
      </c>
      <c r="C2" s="36" t="s">
        <v>170</v>
      </c>
      <c r="D2" s="36" t="s">
        <v>171</v>
      </c>
      <c r="E2" s="36" t="s">
        <v>172</v>
      </c>
      <c r="F2" s="36" t="s">
        <v>173</v>
      </c>
      <c r="G2" s="36" t="s">
        <v>174</v>
      </c>
    </row>
    <row r="3" spans="1:7" x14ac:dyDescent="0.3">
      <c r="A3" s="3" t="s">
        <v>33</v>
      </c>
      <c r="B3" s="37">
        <v>43.46</v>
      </c>
      <c r="C3" s="37">
        <v>37.840000000000003</v>
      </c>
      <c r="D3" s="37">
        <v>38.369999999999997</v>
      </c>
      <c r="E3" s="38">
        <v>46.72</v>
      </c>
      <c r="F3" s="38">
        <v>47.37</v>
      </c>
      <c r="G3" s="37">
        <v>42.08</v>
      </c>
    </row>
    <row r="4" spans="1:7" x14ac:dyDescent="0.3">
      <c r="A4" s="3" t="s">
        <v>35</v>
      </c>
      <c r="B4" s="39">
        <v>44.06</v>
      </c>
      <c r="C4" s="38">
        <v>51.81</v>
      </c>
      <c r="D4" s="37">
        <v>43.79</v>
      </c>
      <c r="E4" s="39">
        <v>42.81</v>
      </c>
      <c r="F4" s="37">
        <v>38.159999999999997</v>
      </c>
      <c r="G4" s="39">
        <v>46.63</v>
      </c>
    </row>
    <row r="5" spans="1:7" x14ac:dyDescent="0.3">
      <c r="A5" s="3" t="s">
        <v>37</v>
      </c>
      <c r="B5" s="37">
        <v>34.549999999999997</v>
      </c>
      <c r="C5" s="37">
        <v>32.94</v>
      </c>
      <c r="D5" s="37">
        <v>28.59</v>
      </c>
      <c r="E5" s="37">
        <v>29.87</v>
      </c>
      <c r="F5" s="37">
        <v>36.58</v>
      </c>
      <c r="G5" s="37">
        <v>36.54</v>
      </c>
    </row>
    <row r="6" spans="1:7" x14ac:dyDescent="0.3">
      <c r="A6" s="3" t="s">
        <v>39</v>
      </c>
      <c r="B6" s="39">
        <v>45.7</v>
      </c>
      <c r="C6" s="38">
        <v>47.27</v>
      </c>
      <c r="D6" s="37">
        <v>39.99</v>
      </c>
      <c r="E6" s="38">
        <v>47.08</v>
      </c>
      <c r="F6" s="38">
        <v>42.95</v>
      </c>
      <c r="G6" s="39">
        <v>47.85</v>
      </c>
    </row>
    <row r="7" spans="1:7" x14ac:dyDescent="0.3">
      <c r="A7" s="3" t="s">
        <v>41</v>
      </c>
      <c r="B7" s="38">
        <v>46.39</v>
      </c>
      <c r="C7" s="39">
        <v>42.87</v>
      </c>
      <c r="D7" s="38">
        <v>51.84</v>
      </c>
      <c r="E7" s="39">
        <v>39.06</v>
      </c>
      <c r="F7" s="38">
        <v>43.86</v>
      </c>
      <c r="G7" s="38">
        <v>50.51</v>
      </c>
    </row>
    <row r="8" spans="1:7" x14ac:dyDescent="0.3">
      <c r="A8" s="3" t="s">
        <v>43</v>
      </c>
      <c r="B8" s="37">
        <v>34.01</v>
      </c>
      <c r="C8" s="37">
        <v>30.79</v>
      </c>
      <c r="D8" s="39">
        <v>44.01</v>
      </c>
      <c r="E8" s="37">
        <v>30.92</v>
      </c>
      <c r="F8" s="37">
        <v>27.83</v>
      </c>
      <c r="G8" s="37">
        <v>38.049999999999997</v>
      </c>
    </row>
    <row r="9" spans="1:7" x14ac:dyDescent="0.3">
      <c r="A9" s="3" t="s">
        <v>45</v>
      </c>
      <c r="B9" s="38">
        <v>45.77</v>
      </c>
      <c r="C9" s="39">
        <v>40.44</v>
      </c>
      <c r="D9" s="39">
        <v>49.12</v>
      </c>
      <c r="E9" s="38">
        <v>48.74</v>
      </c>
      <c r="F9" s="39">
        <v>41.85</v>
      </c>
      <c r="G9" s="39">
        <v>47.97</v>
      </c>
    </row>
    <row r="10" spans="1:7" x14ac:dyDescent="0.3">
      <c r="A10" s="3" t="s">
        <v>47</v>
      </c>
      <c r="B10" s="37">
        <v>33.880000000000003</v>
      </c>
      <c r="C10" s="37">
        <v>30.87</v>
      </c>
      <c r="D10" s="37">
        <v>33.56</v>
      </c>
      <c r="E10" s="37">
        <v>32.700000000000003</v>
      </c>
      <c r="F10" s="37">
        <v>29.68</v>
      </c>
      <c r="G10" s="37">
        <v>37.97</v>
      </c>
    </row>
    <row r="11" spans="1:7" x14ac:dyDescent="0.3">
      <c r="A11" s="3" t="s">
        <v>49</v>
      </c>
      <c r="B11" s="37">
        <v>20.77</v>
      </c>
      <c r="C11" s="37">
        <v>17.670000000000002</v>
      </c>
      <c r="D11" s="37">
        <v>22.98</v>
      </c>
      <c r="E11" s="37">
        <v>22.49</v>
      </c>
      <c r="F11" s="37">
        <v>17.89</v>
      </c>
      <c r="G11" s="37">
        <v>22.41</v>
      </c>
    </row>
    <row r="12" spans="1:7" x14ac:dyDescent="0.3">
      <c r="A12" s="3" t="s">
        <v>51</v>
      </c>
      <c r="B12" s="37">
        <v>33.590000000000003</v>
      </c>
      <c r="C12" s="37">
        <v>29.18</v>
      </c>
      <c r="D12" s="37">
        <v>39.65</v>
      </c>
      <c r="E12" s="37">
        <v>34.69</v>
      </c>
      <c r="F12" s="37">
        <v>29.67</v>
      </c>
      <c r="G12" s="37">
        <v>35.68</v>
      </c>
    </row>
    <row r="13" spans="1:7" x14ac:dyDescent="0.3">
      <c r="A13" s="3" t="s">
        <v>52</v>
      </c>
      <c r="B13" s="37">
        <v>34.04</v>
      </c>
      <c r="C13" s="37">
        <v>34.14</v>
      </c>
      <c r="D13" s="37">
        <v>42.2</v>
      </c>
      <c r="E13" s="37">
        <v>30.03</v>
      </c>
      <c r="F13" s="37">
        <v>29.62</v>
      </c>
      <c r="G13" s="37">
        <v>36.76</v>
      </c>
    </row>
    <row r="14" spans="1:7" x14ac:dyDescent="0.3">
      <c r="A14" s="3" t="s">
        <v>53</v>
      </c>
      <c r="B14" s="38">
        <v>49.25</v>
      </c>
      <c r="C14" s="38">
        <v>51.4</v>
      </c>
      <c r="D14" s="38">
        <v>49.94</v>
      </c>
      <c r="E14" s="38">
        <v>43.87</v>
      </c>
      <c r="F14" s="39">
        <v>40.799999999999997</v>
      </c>
      <c r="G14" s="38">
        <v>56.24</v>
      </c>
    </row>
    <row r="15" spans="1:7" x14ac:dyDescent="0.3">
      <c r="A15" s="3" t="s">
        <v>54</v>
      </c>
      <c r="B15" s="37">
        <v>34.11</v>
      </c>
      <c r="C15" s="37">
        <v>31.98</v>
      </c>
      <c r="D15" s="37">
        <v>43</v>
      </c>
      <c r="E15" s="37">
        <v>31.73</v>
      </c>
      <c r="F15" s="37">
        <v>28.38</v>
      </c>
      <c r="G15" s="37">
        <v>37.54</v>
      </c>
    </row>
    <row r="16" spans="1:7" x14ac:dyDescent="0.3">
      <c r="A16" s="3" t="s">
        <v>55</v>
      </c>
      <c r="B16" s="39">
        <v>45.69</v>
      </c>
      <c r="C16" s="39">
        <v>45.43</v>
      </c>
      <c r="D16" s="38">
        <v>51.93</v>
      </c>
      <c r="E16" s="38">
        <v>46.32</v>
      </c>
      <c r="F16" s="39">
        <v>40.6</v>
      </c>
      <c r="G16" s="39">
        <v>47.67</v>
      </c>
    </row>
    <row r="17" spans="1:7" x14ac:dyDescent="0.3">
      <c r="A17" s="3" t="s">
        <v>57</v>
      </c>
      <c r="B17" s="37">
        <v>42.28</v>
      </c>
      <c r="C17" s="37">
        <v>39.35</v>
      </c>
      <c r="D17" s="39">
        <v>47.54</v>
      </c>
      <c r="E17" s="37">
        <v>38.17</v>
      </c>
      <c r="F17" s="37">
        <v>33.04</v>
      </c>
      <c r="G17" s="38">
        <v>49.67</v>
      </c>
    </row>
    <row r="18" spans="1:7" x14ac:dyDescent="0.3">
      <c r="A18" s="3" t="s">
        <v>58</v>
      </c>
      <c r="B18" s="38">
        <v>48.47</v>
      </c>
      <c r="C18" s="38">
        <v>55.72</v>
      </c>
      <c r="D18" s="38">
        <v>55</v>
      </c>
      <c r="E18" s="39">
        <v>43.25</v>
      </c>
      <c r="F18" s="39">
        <v>40.43</v>
      </c>
      <c r="G18" s="38">
        <v>52.65</v>
      </c>
    </row>
    <row r="19" spans="1:7" x14ac:dyDescent="0.3">
      <c r="A19" s="3" t="s">
        <v>60</v>
      </c>
      <c r="B19" s="38">
        <v>47.6</v>
      </c>
      <c r="C19" s="38">
        <v>47.31</v>
      </c>
      <c r="D19" s="38">
        <v>59.95</v>
      </c>
      <c r="E19" s="39">
        <v>42.32</v>
      </c>
      <c r="F19" s="38">
        <v>44.19</v>
      </c>
      <c r="G19" s="39">
        <v>49.33</v>
      </c>
    </row>
    <row r="20" spans="1:7" x14ac:dyDescent="0.3">
      <c r="A20" s="3" t="s">
        <v>62</v>
      </c>
      <c r="B20" s="39">
        <v>44.38</v>
      </c>
      <c r="C20" s="39">
        <v>42.42</v>
      </c>
      <c r="D20" s="39">
        <v>48.92</v>
      </c>
      <c r="E20" s="39">
        <v>40.92</v>
      </c>
      <c r="F20" s="38">
        <v>47.57</v>
      </c>
      <c r="G20" s="37">
        <v>43.03</v>
      </c>
    </row>
    <row r="21" spans="1:7" x14ac:dyDescent="0.3">
      <c r="A21" s="3" t="s">
        <v>63</v>
      </c>
      <c r="B21" s="37">
        <v>34.14</v>
      </c>
      <c r="C21" s="37">
        <v>28.91</v>
      </c>
      <c r="D21" s="37">
        <v>33.15</v>
      </c>
      <c r="E21" s="37">
        <v>36.43</v>
      </c>
      <c r="F21" s="37">
        <v>34.950000000000003</v>
      </c>
      <c r="G21" s="37">
        <v>34.28</v>
      </c>
    </row>
    <row r="22" spans="1:7" x14ac:dyDescent="0.3">
      <c r="A22" s="3" t="s">
        <v>64</v>
      </c>
      <c r="B22" s="39">
        <v>45.64</v>
      </c>
      <c r="C22" s="39">
        <v>39.770000000000003</v>
      </c>
      <c r="D22" s="39">
        <v>49.43</v>
      </c>
      <c r="E22" s="37">
        <v>38.03</v>
      </c>
      <c r="F22" s="39">
        <v>40.21</v>
      </c>
      <c r="G22" s="38">
        <v>52.77</v>
      </c>
    </row>
  </sheetData>
  <mergeCells count="1">
    <mergeCell ref="A1:A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66"/>
  <sheetViews>
    <sheetView zoomScale="88" workbookViewId="0">
      <selection activeCell="A4" sqref="A4"/>
    </sheetView>
  </sheetViews>
  <sheetFormatPr defaultRowHeight="14.4" x14ac:dyDescent="0.3"/>
  <cols>
    <col min="1" max="1" width="90" customWidth="1"/>
  </cols>
  <sheetData>
    <row r="1" spans="1:1" x14ac:dyDescent="0.3">
      <c r="A1" s="40" t="s">
        <v>175</v>
      </c>
    </row>
    <row r="2" spans="1:1" x14ac:dyDescent="0.3">
      <c r="A2" s="40" t="s">
        <v>176</v>
      </c>
    </row>
    <row r="3" spans="1:1" x14ac:dyDescent="0.3">
      <c r="A3" s="40" t="s">
        <v>175</v>
      </c>
    </row>
    <row r="4" spans="1:1" x14ac:dyDescent="0.3">
      <c r="A4" s="41"/>
    </row>
    <row r="5" spans="1:1" x14ac:dyDescent="0.3">
      <c r="A5" s="42" t="s">
        <v>177</v>
      </c>
    </row>
    <row r="6" spans="1:1" x14ac:dyDescent="0.3">
      <c r="A6" s="42" t="s">
        <v>178</v>
      </c>
    </row>
    <row r="7" spans="1:1" x14ac:dyDescent="0.3">
      <c r="A7" s="42" t="s">
        <v>179</v>
      </c>
    </row>
    <row r="8" spans="1:1" x14ac:dyDescent="0.3">
      <c r="A8" s="42" t="s">
        <v>180</v>
      </c>
    </row>
    <row r="9" spans="1:1" x14ac:dyDescent="0.3">
      <c r="A9" s="42" t="s">
        <v>181</v>
      </c>
    </row>
    <row r="10" spans="1:1" x14ac:dyDescent="0.3">
      <c r="A10" s="42" t="s">
        <v>182</v>
      </c>
    </row>
    <row r="11" spans="1:1" x14ac:dyDescent="0.3">
      <c r="A11" s="42" t="s">
        <v>183</v>
      </c>
    </row>
    <row r="12" spans="1:1" x14ac:dyDescent="0.3">
      <c r="A12" s="42" t="s">
        <v>184</v>
      </c>
    </row>
    <row r="13" spans="1:1" x14ac:dyDescent="0.3">
      <c r="A13" s="42" t="s">
        <v>185</v>
      </c>
    </row>
    <row r="14" spans="1:1" x14ac:dyDescent="0.3">
      <c r="A14" s="42" t="s">
        <v>186</v>
      </c>
    </row>
    <row r="15" spans="1:1" x14ac:dyDescent="0.3">
      <c r="A15" s="42" t="s">
        <v>187</v>
      </c>
    </row>
    <row r="16" spans="1:1" x14ac:dyDescent="0.3">
      <c r="A16" s="42" t="s">
        <v>188</v>
      </c>
    </row>
    <row r="17" spans="1:1" x14ac:dyDescent="0.3">
      <c r="A17" s="42" t="s">
        <v>189</v>
      </c>
    </row>
    <row r="18" spans="1:1" x14ac:dyDescent="0.3">
      <c r="A18" s="42" t="s">
        <v>190</v>
      </c>
    </row>
    <row r="19" spans="1:1" x14ac:dyDescent="0.3">
      <c r="A19" s="42" t="s">
        <v>191</v>
      </c>
    </row>
    <row r="20" spans="1:1" x14ac:dyDescent="0.3">
      <c r="A20" s="42" t="s">
        <v>192</v>
      </c>
    </row>
    <row r="21" spans="1:1" x14ac:dyDescent="0.3">
      <c r="A21" s="42" t="s">
        <v>193</v>
      </c>
    </row>
    <row r="22" spans="1:1" x14ac:dyDescent="0.3">
      <c r="A22" s="41"/>
    </row>
    <row r="23" spans="1:1" x14ac:dyDescent="0.3">
      <c r="A23" s="40" t="s">
        <v>194</v>
      </c>
    </row>
    <row r="24" spans="1:1" x14ac:dyDescent="0.3">
      <c r="A24" s="42" t="s">
        <v>195</v>
      </c>
    </row>
    <row r="25" spans="1:1" x14ac:dyDescent="0.3">
      <c r="A25" s="42" t="s">
        <v>196</v>
      </c>
    </row>
    <row r="26" spans="1:1" x14ac:dyDescent="0.3">
      <c r="A26" s="41"/>
    </row>
    <row r="27" spans="1:1" x14ac:dyDescent="0.3">
      <c r="A27" s="40" t="s">
        <v>197</v>
      </c>
    </row>
    <row r="28" spans="1:1" x14ac:dyDescent="0.3">
      <c r="A28" s="42" t="s">
        <v>198</v>
      </c>
    </row>
    <row r="29" spans="1:1" x14ac:dyDescent="0.3">
      <c r="A29" s="42" t="s">
        <v>199</v>
      </c>
    </row>
    <row r="30" spans="1:1" x14ac:dyDescent="0.3">
      <c r="A30" s="42" t="s">
        <v>200</v>
      </c>
    </row>
    <row r="31" spans="1:1" x14ac:dyDescent="0.3">
      <c r="A31" s="42" t="s">
        <v>201</v>
      </c>
    </row>
    <row r="32" spans="1:1" x14ac:dyDescent="0.3">
      <c r="A32" s="42" t="s">
        <v>202</v>
      </c>
    </row>
    <row r="33" spans="1:1" x14ac:dyDescent="0.3">
      <c r="A33" s="41"/>
    </row>
    <row r="34" spans="1:1" x14ac:dyDescent="0.3">
      <c r="A34" s="40" t="s">
        <v>203</v>
      </c>
    </row>
    <row r="35" spans="1:1" x14ac:dyDescent="0.3">
      <c r="A35" s="42" t="s">
        <v>204</v>
      </c>
    </row>
    <row r="36" spans="1:1" x14ac:dyDescent="0.3">
      <c r="A36" s="42" t="s">
        <v>205</v>
      </c>
    </row>
    <row r="37" spans="1:1" x14ac:dyDescent="0.3">
      <c r="A37" s="42" t="s">
        <v>206</v>
      </c>
    </row>
    <row r="38" spans="1:1" x14ac:dyDescent="0.3">
      <c r="A38" s="41"/>
    </row>
    <row r="39" spans="1:1" x14ac:dyDescent="0.3">
      <c r="A39" s="40" t="s">
        <v>207</v>
      </c>
    </row>
    <row r="40" spans="1:1" x14ac:dyDescent="0.3">
      <c r="A40" s="42" t="s">
        <v>208</v>
      </c>
    </row>
    <row r="41" spans="1:1" x14ac:dyDescent="0.3">
      <c r="A41" s="42" t="s">
        <v>209</v>
      </c>
    </row>
    <row r="42" spans="1:1" x14ac:dyDescent="0.3">
      <c r="A42" s="42" t="s">
        <v>210</v>
      </c>
    </row>
    <row r="43" spans="1:1" ht="27.6" x14ac:dyDescent="0.3">
      <c r="A43" s="42" t="s">
        <v>211</v>
      </c>
    </row>
    <row r="44" spans="1:1" x14ac:dyDescent="0.3">
      <c r="A44" s="41"/>
    </row>
    <row r="45" spans="1:1" x14ac:dyDescent="0.3">
      <c r="A45" s="40" t="s">
        <v>212</v>
      </c>
    </row>
    <row r="46" spans="1:1" x14ac:dyDescent="0.3">
      <c r="A46" s="42" t="s">
        <v>213</v>
      </c>
    </row>
    <row r="47" spans="1:1" x14ac:dyDescent="0.3">
      <c r="A47" s="42" t="s">
        <v>214</v>
      </c>
    </row>
    <row r="48" spans="1:1" x14ac:dyDescent="0.3">
      <c r="A48" s="42" t="s">
        <v>215</v>
      </c>
    </row>
    <row r="49" spans="1:1" x14ac:dyDescent="0.3">
      <c r="A49" s="42" t="s">
        <v>216</v>
      </c>
    </row>
    <row r="50" spans="1:1" x14ac:dyDescent="0.3">
      <c r="A50" s="42" t="s">
        <v>217</v>
      </c>
    </row>
    <row r="51" spans="1:1" x14ac:dyDescent="0.3">
      <c r="A51" s="42" t="s">
        <v>218</v>
      </c>
    </row>
    <row r="52" spans="1:1" x14ac:dyDescent="0.3">
      <c r="A52" s="42" t="s">
        <v>219</v>
      </c>
    </row>
    <row r="53" spans="1:1" x14ac:dyDescent="0.3">
      <c r="A53" s="41"/>
    </row>
    <row r="54" spans="1:1" x14ac:dyDescent="0.3">
      <c r="A54" s="40" t="s">
        <v>220</v>
      </c>
    </row>
    <row r="55" spans="1:1" x14ac:dyDescent="0.3">
      <c r="A55" s="43" t="s">
        <v>221</v>
      </c>
    </row>
    <row r="56" spans="1:1" x14ac:dyDescent="0.3">
      <c r="A56" s="43" t="s">
        <v>222</v>
      </c>
    </row>
    <row r="57" spans="1:1" x14ac:dyDescent="0.3">
      <c r="A57" s="43" t="s">
        <v>223</v>
      </c>
    </row>
    <row r="58" spans="1:1" x14ac:dyDescent="0.3">
      <c r="A58" s="43" t="s">
        <v>224</v>
      </c>
    </row>
    <row r="59" spans="1:1" x14ac:dyDescent="0.3">
      <c r="A59" s="43" t="s">
        <v>225</v>
      </c>
    </row>
    <row r="60" spans="1:1" x14ac:dyDescent="0.3">
      <c r="A60" s="43" t="s">
        <v>226</v>
      </c>
    </row>
    <row r="61" spans="1:1" x14ac:dyDescent="0.3">
      <c r="A61" s="41"/>
    </row>
    <row r="62" spans="1:1" x14ac:dyDescent="0.3">
      <c r="A62" s="40" t="s">
        <v>227</v>
      </c>
    </row>
    <row r="63" spans="1:1" x14ac:dyDescent="0.3">
      <c r="A63" s="43" t="s">
        <v>228</v>
      </c>
    </row>
    <row r="64" spans="1:1" x14ac:dyDescent="0.3">
      <c r="A64" s="43" t="s">
        <v>229</v>
      </c>
    </row>
    <row r="65" spans="1:1" x14ac:dyDescent="0.3">
      <c r="A65" s="43" t="s">
        <v>230</v>
      </c>
    </row>
    <row r="66" spans="1:1" x14ac:dyDescent="0.3">
      <c r="A66" s="43" t="s">
        <v>231</v>
      </c>
    </row>
  </sheetData>
  <pageMargins left="0.75" right="0.75" top="1" bottom="1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tabSelected="1" workbookViewId="0">
      <pane ySplit="1" topLeftCell="A2" activePane="bottomLeft" state="frozen"/>
      <selection pane="bottomLeft" activeCell="E14" sqref="E14"/>
    </sheetView>
  </sheetViews>
  <sheetFormatPr defaultRowHeight="14.4" x14ac:dyDescent="0.3"/>
  <cols>
    <col min="1" max="1" width="18" customWidth="1"/>
    <col min="2" max="2" width="6" style="55" customWidth="1"/>
    <col min="3" max="3" width="30" customWidth="1"/>
    <col min="4" max="4" width="70" customWidth="1"/>
    <col min="5" max="5" width="8" customWidth="1"/>
  </cols>
  <sheetData>
    <row r="1" spans="1:5" ht="26.4" x14ac:dyDescent="0.3">
      <c r="A1" s="1" t="s">
        <v>232</v>
      </c>
      <c r="B1" s="53" t="s">
        <v>233</v>
      </c>
      <c r="C1" s="1" t="s">
        <v>234</v>
      </c>
      <c r="D1" s="1" t="s">
        <v>235</v>
      </c>
      <c r="E1" s="1" t="s">
        <v>236</v>
      </c>
    </row>
    <row r="2" spans="1:5" x14ac:dyDescent="0.3">
      <c r="A2" s="44" t="s">
        <v>237</v>
      </c>
      <c r="B2" s="54">
        <v>1.1000000000000001</v>
      </c>
      <c r="C2" s="4" t="s">
        <v>238</v>
      </c>
      <c r="D2" s="4" t="s">
        <v>239</v>
      </c>
      <c r="E2" s="50" t="s">
        <v>240</v>
      </c>
    </row>
    <row r="3" spans="1:5" x14ac:dyDescent="0.3">
      <c r="A3" s="44" t="s">
        <v>237</v>
      </c>
      <c r="B3" s="52">
        <v>1.2</v>
      </c>
      <c r="C3" s="4" t="s">
        <v>241</v>
      </c>
      <c r="D3" s="4" t="s">
        <v>242</v>
      </c>
      <c r="E3" s="50" t="s">
        <v>240</v>
      </c>
    </row>
    <row r="4" spans="1:5" x14ac:dyDescent="0.3">
      <c r="A4" s="44" t="s">
        <v>237</v>
      </c>
      <c r="B4" s="52">
        <v>1.3</v>
      </c>
      <c r="C4" s="4" t="s">
        <v>243</v>
      </c>
      <c r="D4" s="4" t="s">
        <v>244</v>
      </c>
      <c r="E4" s="50" t="s">
        <v>240</v>
      </c>
    </row>
    <row r="5" spans="1:5" x14ac:dyDescent="0.3">
      <c r="A5" s="44" t="s">
        <v>237</v>
      </c>
      <c r="B5" s="52">
        <v>1.4</v>
      </c>
      <c r="C5" s="4" t="s">
        <v>245</v>
      </c>
      <c r="D5" s="4" t="s">
        <v>246</v>
      </c>
      <c r="E5" s="50" t="s">
        <v>240</v>
      </c>
    </row>
    <row r="6" spans="1:5" x14ac:dyDescent="0.3">
      <c r="A6" s="44" t="s">
        <v>237</v>
      </c>
      <c r="B6" s="52">
        <v>1.5</v>
      </c>
      <c r="C6" s="4" t="s">
        <v>247</v>
      </c>
      <c r="D6" s="4" t="s">
        <v>248</v>
      </c>
      <c r="E6" s="51" t="s">
        <v>240</v>
      </c>
    </row>
    <row r="7" spans="1:5" x14ac:dyDescent="0.3">
      <c r="A7" s="45" t="s">
        <v>249</v>
      </c>
      <c r="B7" s="52">
        <v>2.1</v>
      </c>
      <c r="C7" s="4" t="s">
        <v>250</v>
      </c>
      <c r="D7" s="4" t="s">
        <v>251</v>
      </c>
      <c r="E7" s="50" t="s">
        <v>240</v>
      </c>
    </row>
    <row r="8" spans="1:5" x14ac:dyDescent="0.3">
      <c r="A8" s="45" t="s">
        <v>249</v>
      </c>
      <c r="B8" s="52">
        <v>2.2000000000000002</v>
      </c>
      <c r="C8" s="4" t="s">
        <v>252</v>
      </c>
      <c r="D8" s="4" t="s">
        <v>253</v>
      </c>
      <c r="E8" s="50" t="s">
        <v>240</v>
      </c>
    </row>
    <row r="9" spans="1:5" x14ac:dyDescent="0.3">
      <c r="A9" s="45" t="s">
        <v>249</v>
      </c>
      <c r="B9" s="52">
        <v>2.2999999999999998</v>
      </c>
      <c r="C9" s="4" t="s">
        <v>254</v>
      </c>
      <c r="D9" s="4" t="s">
        <v>255</v>
      </c>
      <c r="E9" s="50" t="s">
        <v>240</v>
      </c>
    </row>
    <row r="10" spans="1:5" x14ac:dyDescent="0.3">
      <c r="A10" s="45" t="s">
        <v>249</v>
      </c>
      <c r="B10" s="52">
        <v>2.4</v>
      </c>
      <c r="C10" s="4" t="s">
        <v>256</v>
      </c>
      <c r="D10" s="4" t="s">
        <v>257</v>
      </c>
      <c r="E10" s="50" t="s">
        <v>240</v>
      </c>
    </row>
    <row r="11" spans="1:5" x14ac:dyDescent="0.3">
      <c r="A11" s="45" t="s">
        <v>249</v>
      </c>
      <c r="B11" s="52">
        <v>2.5</v>
      </c>
      <c r="C11" s="4" t="s">
        <v>258</v>
      </c>
      <c r="D11" s="4" t="s">
        <v>259</v>
      </c>
      <c r="E11" s="50" t="s">
        <v>240</v>
      </c>
    </row>
    <row r="12" spans="1:5" x14ac:dyDescent="0.3">
      <c r="A12" s="45" t="s">
        <v>249</v>
      </c>
      <c r="B12" s="52">
        <v>2.6</v>
      </c>
      <c r="C12" s="4" t="s">
        <v>260</v>
      </c>
      <c r="D12" s="4" t="s">
        <v>261</v>
      </c>
      <c r="E12" s="50" t="s">
        <v>240</v>
      </c>
    </row>
    <row r="13" spans="1:5" x14ac:dyDescent="0.3">
      <c r="A13" s="46" t="s">
        <v>262</v>
      </c>
      <c r="B13" s="52">
        <v>3.1</v>
      </c>
      <c r="C13" s="4" t="s">
        <v>263</v>
      </c>
      <c r="D13" s="4" t="s">
        <v>264</v>
      </c>
      <c r="E13" s="7" t="s">
        <v>240</v>
      </c>
    </row>
    <row r="14" spans="1:5" x14ac:dyDescent="0.3">
      <c r="A14" s="46" t="s">
        <v>262</v>
      </c>
      <c r="B14" s="52">
        <v>3.2</v>
      </c>
      <c r="C14" s="4" t="s">
        <v>265</v>
      </c>
      <c r="D14" s="4" t="s">
        <v>266</v>
      </c>
      <c r="E14" s="7" t="s">
        <v>240</v>
      </c>
    </row>
    <row r="15" spans="1:5" x14ac:dyDescent="0.3">
      <c r="A15" s="46" t="s">
        <v>262</v>
      </c>
      <c r="B15" s="52">
        <v>3.3</v>
      </c>
      <c r="C15" s="4" t="s">
        <v>267</v>
      </c>
      <c r="D15" s="4" t="s">
        <v>268</v>
      </c>
      <c r="E15" s="7" t="s">
        <v>240</v>
      </c>
    </row>
    <row r="16" spans="1:5" x14ac:dyDescent="0.3">
      <c r="A16" s="46" t="s">
        <v>262</v>
      </c>
      <c r="B16" s="52">
        <v>3.4</v>
      </c>
      <c r="C16" s="4" t="s">
        <v>269</v>
      </c>
      <c r="D16" s="4" t="s">
        <v>270</v>
      </c>
      <c r="E16" s="7" t="s">
        <v>240</v>
      </c>
    </row>
    <row r="17" spans="1:5" x14ac:dyDescent="0.3">
      <c r="A17" s="46" t="s">
        <v>262</v>
      </c>
      <c r="B17" s="52">
        <v>3.5</v>
      </c>
      <c r="C17" s="4" t="s">
        <v>271</v>
      </c>
      <c r="D17" s="4" t="s">
        <v>272</v>
      </c>
      <c r="E17" s="7" t="s">
        <v>240</v>
      </c>
    </row>
    <row r="18" spans="1:5" x14ac:dyDescent="0.3">
      <c r="A18" s="47" t="s">
        <v>273</v>
      </c>
      <c r="B18" s="52">
        <v>4.0999999999999996</v>
      </c>
      <c r="C18" s="4" t="s">
        <v>274</v>
      </c>
      <c r="D18" s="4" t="s">
        <v>275</v>
      </c>
      <c r="E18" s="7" t="s">
        <v>240</v>
      </c>
    </row>
    <row r="19" spans="1:5" x14ac:dyDescent="0.3">
      <c r="A19" s="47" t="s">
        <v>273</v>
      </c>
      <c r="B19" s="52">
        <v>4.2</v>
      </c>
      <c r="C19" s="4" t="s">
        <v>276</v>
      </c>
      <c r="D19" s="4" t="s">
        <v>277</v>
      </c>
      <c r="E19" s="7" t="s">
        <v>240</v>
      </c>
    </row>
    <row r="20" spans="1:5" x14ac:dyDescent="0.3">
      <c r="A20" s="47" t="s">
        <v>273</v>
      </c>
      <c r="B20" s="52">
        <v>4.3</v>
      </c>
      <c r="C20" s="4" t="s">
        <v>278</v>
      </c>
      <c r="D20" s="4" t="s">
        <v>279</v>
      </c>
      <c r="E20" s="7" t="s">
        <v>240</v>
      </c>
    </row>
    <row r="21" spans="1:5" x14ac:dyDescent="0.3">
      <c r="A21" s="47" t="s">
        <v>273</v>
      </c>
      <c r="B21" s="52">
        <v>4.4000000000000004</v>
      </c>
      <c r="C21" s="4" t="s">
        <v>280</v>
      </c>
      <c r="D21" s="4" t="s">
        <v>281</v>
      </c>
      <c r="E21" s="7" t="s">
        <v>240</v>
      </c>
    </row>
    <row r="22" spans="1:5" x14ac:dyDescent="0.3">
      <c r="A22" s="47" t="s">
        <v>273</v>
      </c>
      <c r="B22" s="52">
        <v>4.5</v>
      </c>
      <c r="C22" s="4" t="s">
        <v>282</v>
      </c>
      <c r="D22" s="4" t="s">
        <v>283</v>
      </c>
      <c r="E22" s="7" t="s">
        <v>240</v>
      </c>
    </row>
    <row r="23" spans="1:5" x14ac:dyDescent="0.3">
      <c r="A23" s="48" t="s">
        <v>284</v>
      </c>
      <c r="B23" s="52">
        <v>5.0999999999999996</v>
      </c>
      <c r="C23" s="4" t="s">
        <v>285</v>
      </c>
      <c r="D23" s="4" t="s">
        <v>286</v>
      </c>
      <c r="E23" s="7" t="s">
        <v>240</v>
      </c>
    </row>
    <row r="24" spans="1:5" x14ac:dyDescent="0.3">
      <c r="A24" s="48" t="s">
        <v>284</v>
      </c>
      <c r="B24" s="52">
        <v>5.2</v>
      </c>
      <c r="C24" s="4" t="s">
        <v>287</v>
      </c>
      <c r="D24" s="4" t="s">
        <v>288</v>
      </c>
      <c r="E24" s="7" t="s">
        <v>240</v>
      </c>
    </row>
    <row r="25" spans="1:5" x14ac:dyDescent="0.3">
      <c r="A25" s="48" t="s">
        <v>284</v>
      </c>
      <c r="B25" s="52">
        <v>5.3</v>
      </c>
      <c r="C25" s="4" t="s">
        <v>289</v>
      </c>
      <c r="D25" s="4" t="s">
        <v>290</v>
      </c>
      <c r="E25" s="7" t="s">
        <v>240</v>
      </c>
    </row>
    <row r="26" spans="1:5" x14ac:dyDescent="0.3">
      <c r="A26" s="48" t="s">
        <v>284</v>
      </c>
      <c r="B26" s="52">
        <v>5.4</v>
      </c>
      <c r="C26" s="4" t="s">
        <v>291</v>
      </c>
      <c r="D26" s="4" t="s">
        <v>292</v>
      </c>
      <c r="E26" s="7" t="s">
        <v>240</v>
      </c>
    </row>
    <row r="27" spans="1:5" x14ac:dyDescent="0.3">
      <c r="A27" s="48" t="s">
        <v>284</v>
      </c>
      <c r="B27" s="52">
        <v>5.5</v>
      </c>
      <c r="C27" s="4" t="s">
        <v>260</v>
      </c>
      <c r="D27" s="4" t="s">
        <v>293</v>
      </c>
      <c r="E27" s="7" t="s">
        <v>240</v>
      </c>
    </row>
    <row r="28" spans="1:5" x14ac:dyDescent="0.3">
      <c r="A28" s="49" t="s">
        <v>294</v>
      </c>
      <c r="B28" s="52">
        <v>6.1</v>
      </c>
      <c r="C28" s="4" t="s">
        <v>295</v>
      </c>
      <c r="D28" s="4" t="s">
        <v>296</v>
      </c>
      <c r="E28" s="7" t="s">
        <v>240</v>
      </c>
    </row>
    <row r="29" spans="1:5" x14ac:dyDescent="0.3">
      <c r="A29" s="49" t="s">
        <v>294</v>
      </c>
      <c r="B29" s="52">
        <v>6.2</v>
      </c>
      <c r="C29" s="4" t="s">
        <v>297</v>
      </c>
      <c r="D29" s="4" t="s">
        <v>298</v>
      </c>
      <c r="E29" s="7" t="s">
        <v>240</v>
      </c>
    </row>
    <row r="30" spans="1:5" x14ac:dyDescent="0.3">
      <c r="A30" s="49" t="s">
        <v>294</v>
      </c>
      <c r="B30" s="52">
        <v>6.3</v>
      </c>
      <c r="C30" s="4" t="s">
        <v>299</v>
      </c>
      <c r="D30" s="4" t="s">
        <v>300</v>
      </c>
      <c r="E30" s="7" t="s">
        <v>240</v>
      </c>
    </row>
    <row r="31" spans="1:5" x14ac:dyDescent="0.3">
      <c r="A31" s="49" t="s">
        <v>294</v>
      </c>
      <c r="B31" s="52">
        <v>6.4</v>
      </c>
      <c r="C31" s="4" t="s">
        <v>301</v>
      </c>
      <c r="D31" s="4" t="s">
        <v>302</v>
      </c>
      <c r="E31" s="7" t="s">
        <v>240</v>
      </c>
    </row>
    <row r="32" spans="1:5" x14ac:dyDescent="0.3">
      <c r="A32" s="49" t="s">
        <v>294</v>
      </c>
      <c r="B32" s="52">
        <v>6.5</v>
      </c>
      <c r="C32" s="4" t="s">
        <v>303</v>
      </c>
      <c r="D32" s="4" t="s">
        <v>304</v>
      </c>
      <c r="E32" s="7" t="s">
        <v>240</v>
      </c>
    </row>
    <row r="33" spans="1:5" x14ac:dyDescent="0.3">
      <c r="A33" s="49" t="s">
        <v>294</v>
      </c>
      <c r="B33" s="52">
        <v>6.6</v>
      </c>
      <c r="C33" s="4" t="s">
        <v>305</v>
      </c>
      <c r="D33" s="4" t="s">
        <v>306</v>
      </c>
      <c r="E33" s="7" t="s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1_Raw_Data</vt:lpstr>
      <vt:lpstr>2_dim_Cities</vt:lpstr>
      <vt:lpstr>3_dim_Metrics</vt:lpstr>
      <vt:lpstr>4_Normalized_Scores</vt:lpstr>
      <vt:lpstr>5_GCC_Type_Presets</vt:lpstr>
      <vt:lpstr>6_Sensitivity_Analysis</vt:lpstr>
      <vt:lpstr>7_DAX_Reference</vt:lpstr>
      <vt:lpstr>8_Implementation_Checklist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Sridhara Murthy</cp:lastModifiedBy>
  <dcterms:created xsi:type="dcterms:W3CDTF">2026-03-14T10:07:50Z</dcterms:created>
  <dcterms:modified xsi:type="dcterms:W3CDTF">2026-03-14T18:10:39Z</dcterms:modified>
</cp:coreProperties>
</file>