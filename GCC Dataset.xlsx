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dh\OneDrive\Desktop\"/>
    </mc:Choice>
  </mc:AlternateContent>
  <xr:revisionPtr revIDLastSave="0" documentId="13_ncr:1_{F1DED78B-375A-4F71-8873-065301C0F2E5}" xr6:coauthVersionLast="47" xr6:coauthVersionMax="47" xr10:uidLastSave="{00000000-0000-0000-0000-000000000000}"/>
  <bookViews>
    <workbookView xWindow="-108" yWindow="-108" windowWidth="23256" windowHeight="12456" xr2:uid="{A6FB5763-E4F5-4F28-BF93-100A179FA9F4}"/>
  </bookViews>
  <sheets>
    <sheet name="Sheet1" sheetId="1" r:id="rId1"/>
  </sheets>
  <definedNames>
    <definedName name="_xlnm._FilterDatabase" localSheetId="0" hidden="1">Sheet1!$B$2:$B$23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</calcChain>
</file>

<file path=xl/sharedStrings.xml><?xml version="1.0" encoding="utf-8"?>
<sst xmlns="http://schemas.openxmlformats.org/spreadsheetml/2006/main" count="73" uniqueCount="66">
  <si>
    <t>City</t>
  </si>
  <si>
    <t>State</t>
  </si>
  <si>
    <t>Ahmedbad</t>
  </si>
  <si>
    <t>Gujarat</t>
  </si>
  <si>
    <t>Bhubaneshwar</t>
  </si>
  <si>
    <t>Odisha</t>
  </si>
  <si>
    <t>Chandigarh</t>
  </si>
  <si>
    <t>Punjab &amp; Haryana</t>
  </si>
  <si>
    <t>Coimbatore</t>
  </si>
  <si>
    <t>Tamil Nadu</t>
  </si>
  <si>
    <t>Indore</t>
  </si>
  <si>
    <t>Jaipur</t>
  </si>
  <si>
    <t>Lucknow</t>
  </si>
  <si>
    <t>Madurai</t>
  </si>
  <si>
    <t>Mangaluru</t>
  </si>
  <si>
    <t>Karnataka</t>
  </si>
  <si>
    <t>Mysuru</t>
  </si>
  <si>
    <t>Nagpur</t>
  </si>
  <si>
    <t>Nashik</t>
  </si>
  <si>
    <t>Maharastra</t>
  </si>
  <si>
    <t>Thiruvananthapuram</t>
  </si>
  <si>
    <t>Kerala</t>
  </si>
  <si>
    <t>Visakhapatnam</t>
  </si>
  <si>
    <t>Telangana</t>
  </si>
  <si>
    <t>Warangal</t>
  </si>
  <si>
    <t>Tirupati</t>
  </si>
  <si>
    <t>Vijaywada</t>
  </si>
  <si>
    <t>Hubballi</t>
  </si>
  <si>
    <t>Andhra Pradesh</t>
  </si>
  <si>
    <t>Uttar Pradesh</t>
  </si>
  <si>
    <t>Kanpur</t>
  </si>
  <si>
    <t>Rajasthan</t>
  </si>
  <si>
    <t>Madhya Pradesh</t>
  </si>
  <si>
    <t>Guwahati</t>
  </si>
  <si>
    <t>Assam</t>
  </si>
  <si>
    <t>Science and Tech Graduates</t>
  </si>
  <si>
    <t>Management  Graduates</t>
  </si>
  <si>
    <t>Population</t>
  </si>
  <si>
    <t>Adult Literacy</t>
  </si>
  <si>
    <t>Education</t>
  </si>
  <si>
    <t>Demographics</t>
  </si>
  <si>
    <t>Tech Related Businesses</t>
  </si>
  <si>
    <t>SEZ Area (Sq. KM)</t>
  </si>
  <si>
    <t>No. of Colleges</t>
  </si>
  <si>
    <t>Tech Talent Pool</t>
  </si>
  <si>
    <t>Technology Ecosystem</t>
  </si>
  <si>
    <t>Infrastructure</t>
  </si>
  <si>
    <t>Metro Network (in KM)</t>
  </si>
  <si>
    <t>Airport (Number of Flights per day)</t>
  </si>
  <si>
    <t>Average Download Speedm(Mbps)</t>
  </si>
  <si>
    <t>Avg. Salary (Lakh per annum)</t>
  </si>
  <si>
    <t>Office rental (₹/Sq. Ft/month</t>
  </si>
  <si>
    <t>Cost</t>
  </si>
  <si>
    <t>EoDB Rank (out of 37)</t>
  </si>
  <si>
    <t>Education Ecosystem Index</t>
  </si>
  <si>
    <t>Medical Ecosystem Index</t>
  </si>
  <si>
    <t>Cost of Living Index</t>
  </si>
  <si>
    <t>Crime Index</t>
  </si>
  <si>
    <t>Pollution Index</t>
  </si>
  <si>
    <t>Regulatory and Social</t>
  </si>
  <si>
    <t>Total Graduates</t>
  </si>
  <si>
    <t>% Science and Tech Graduates</t>
  </si>
  <si>
    <t>% Tech Talent Pool of population</t>
  </si>
  <si>
    <t>Area (Sq. KM)</t>
  </si>
  <si>
    <t>College per Sq. KM</t>
  </si>
  <si>
    <t>Tech Business per sq.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</si>
</sst>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7" formatCode="_ * #,##0.0_ ;_ * \-#,##0.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/>
    <xf numFmtId="10" fontId="0" fillId="0" borderId="0" xfId="2" applyNumberFormat="1" applyFont="1"/>
    <xf numFmtId="164" fontId="2" fillId="0" borderId="0" xfId="1" applyNumberFormat="1" applyFont="1" applyAlignment="1">
      <alignment horizontal="center"/>
    </xf>
    <xf numFmtId="43" fontId="2" fillId="0" borderId="0" xfId="1" applyNumberFormat="1" applyFont="1"/>
    <xf numFmtId="43" fontId="0" fillId="0" borderId="0" xfId="1" applyNumberFormat="1" applyFont="1"/>
    <xf numFmtId="167" fontId="2" fillId="0" borderId="0" xfId="1" applyNumberFormat="1" applyFont="1"/>
    <xf numFmtId="167" fontId="0" fillId="0" borderId="0" xfId="1" applyNumberFormat="1" applyFont="1"/>
    <xf numFmtId="43" fontId="0" fillId="0" borderId="0" xfId="0" applyNumberFormat="1"/>
    <xf numFmtId="10" fontId="2" fillId="0" borderId="0" xfId="1" applyNumberFormat="1" applyFont="1"/>
    <xf numFmtId="10" fontId="0" fillId="0" borderId="0" xfId="1" applyNumberFormat="1" applyFont="1"/>
    <xf numFmtId="164" fontId="3" fillId="0" borderId="0" xfId="1" applyNumberFormat="1" applyFont="1"/>
    <xf numFmtId="43" fontId="0" fillId="0" borderId="0" xfId="1" applyNumberFormat="1" applyFont="1" applyFill="1"/>
    <xf numFmtId="43" fontId="2" fillId="0" borderId="0" xfId="1" applyNumberFormat="1" applyFont="1" applyFill="1"/>
    <xf numFmtId="0" fontId="2" fillId="0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13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B7A3-826A-4CC7-ADC8-0FAD5D618102}">
  <dimension ref="A1:AA22"/>
  <sheetViews>
    <sheetView tabSelected="1" zoomScale="81" workbookViewId="0">
      <pane xSplit="1" topLeftCell="L1" activePane="topRight" state="frozen"/>
      <selection pane="topRight" activeCell="Y28" sqref="Y28"/>
    </sheetView>
  </sheetViews>
  <sheetFormatPr defaultRowHeight="14.4" x14ac:dyDescent="0.3"/>
  <cols>
    <col min="1" max="1" width="20" bestFit="1" customWidth="1"/>
    <col min="2" max="2" width="17.21875" bestFit="1" customWidth="1"/>
    <col min="3" max="3" width="29.44140625" style="3" bestFit="1" customWidth="1"/>
    <col min="4" max="4" width="29.44140625" style="3" customWidth="1"/>
    <col min="5" max="5" width="22.109375" style="3" bestFit="1" customWidth="1"/>
    <col min="6" max="6" width="22.109375" style="3" customWidth="1"/>
    <col min="7" max="7" width="22" style="3" customWidth="1"/>
    <col min="8" max="8" width="18.21875" style="3" bestFit="1" customWidth="1"/>
    <col min="9" max="9" width="21.5546875" customWidth="1"/>
    <col min="10" max="10" width="30.44140625" bestFit="1" customWidth="1"/>
    <col min="11" max="11" width="23.6640625" customWidth="1"/>
    <col min="12" max="12" width="23.88671875" bestFit="1" customWidth="1"/>
    <col min="13" max="13" width="14" style="3" bestFit="1" customWidth="1"/>
    <col min="14" max="14" width="12.5546875" style="4" bestFit="1" customWidth="1"/>
    <col min="15" max="15" width="12.5546875" style="3" customWidth="1"/>
    <col min="16" max="16" width="15.77734375" style="7" bestFit="1" customWidth="1"/>
    <col min="17" max="17" width="21.33203125" style="9" bestFit="1" customWidth="1"/>
    <col min="18" max="18" width="32.21875" bestFit="1" customWidth="1"/>
    <col min="19" max="19" width="31.88671875" style="10" bestFit="1" customWidth="1"/>
    <col min="20" max="20" width="26.88671875" style="10" bestFit="1" customWidth="1"/>
    <col min="21" max="21" width="27" style="7" bestFit="1" customWidth="1"/>
    <col min="22" max="22" width="20.6640625" bestFit="1" customWidth="1"/>
    <col min="23" max="23" width="26" style="7" bestFit="1" customWidth="1"/>
    <col min="24" max="24" width="24" style="14" bestFit="1" customWidth="1"/>
    <col min="25" max="25" width="19" style="7" bestFit="1" customWidth="1"/>
    <col min="26" max="26" width="12.33203125" style="7" bestFit="1" customWidth="1"/>
    <col min="27" max="27" width="14.88671875" style="7" customWidth="1"/>
  </cols>
  <sheetData>
    <row r="1" spans="1:27" s="1" customFormat="1" x14ac:dyDescent="0.3">
      <c r="A1" s="2"/>
      <c r="B1" s="2"/>
      <c r="C1" s="5" t="s">
        <v>39</v>
      </c>
      <c r="D1" s="5"/>
      <c r="E1" s="5"/>
      <c r="F1" s="5"/>
      <c r="G1" s="5"/>
      <c r="H1" s="5"/>
      <c r="I1" s="5" t="s">
        <v>45</v>
      </c>
      <c r="J1" s="5"/>
      <c r="K1" s="5"/>
      <c r="L1" s="5"/>
      <c r="M1" s="5" t="s">
        <v>40</v>
      </c>
      <c r="N1" s="5"/>
      <c r="O1" s="5"/>
      <c r="P1" s="5" t="s">
        <v>46</v>
      </c>
      <c r="Q1" s="5"/>
      <c r="R1" s="5"/>
      <c r="S1" s="5"/>
      <c r="T1" s="5" t="s">
        <v>52</v>
      </c>
      <c r="U1" s="5"/>
      <c r="V1" s="5" t="s">
        <v>59</v>
      </c>
      <c r="W1" s="5"/>
      <c r="X1" s="5"/>
      <c r="Y1" s="5"/>
      <c r="Z1" s="5"/>
      <c r="AA1" s="5"/>
    </row>
    <row r="2" spans="1:27" s="1" customFormat="1" x14ac:dyDescent="0.3">
      <c r="A2" s="2" t="s">
        <v>0</v>
      </c>
      <c r="B2" s="2" t="s">
        <v>1</v>
      </c>
      <c r="C2" s="2" t="s">
        <v>35</v>
      </c>
      <c r="D2" s="2" t="s">
        <v>61</v>
      </c>
      <c r="E2" s="2" t="s">
        <v>36</v>
      </c>
      <c r="F2" s="2" t="s">
        <v>60</v>
      </c>
      <c r="G2" s="2" t="s">
        <v>43</v>
      </c>
      <c r="H2" s="2" t="s">
        <v>64</v>
      </c>
      <c r="I2" s="2" t="s">
        <v>44</v>
      </c>
      <c r="J2" s="2" t="s">
        <v>62</v>
      </c>
      <c r="K2" s="2" t="s">
        <v>41</v>
      </c>
      <c r="L2" s="2" t="s">
        <v>65</v>
      </c>
      <c r="M2" s="2" t="s">
        <v>37</v>
      </c>
      <c r="N2" s="11" t="s">
        <v>38</v>
      </c>
      <c r="O2" s="2" t="s">
        <v>63</v>
      </c>
      <c r="P2" s="6" t="s">
        <v>42</v>
      </c>
      <c r="Q2" s="8" t="s">
        <v>47</v>
      </c>
      <c r="R2" s="2" t="s">
        <v>48</v>
      </c>
      <c r="S2" s="6" t="s">
        <v>49</v>
      </c>
      <c r="T2" s="6" t="s">
        <v>50</v>
      </c>
      <c r="U2" s="6" t="s">
        <v>51</v>
      </c>
      <c r="V2" s="2" t="s">
        <v>53</v>
      </c>
      <c r="W2" s="16" t="s">
        <v>54</v>
      </c>
      <c r="X2" s="15" t="s">
        <v>55</v>
      </c>
      <c r="Y2" s="6" t="s">
        <v>56</v>
      </c>
      <c r="Z2" s="6" t="s">
        <v>57</v>
      </c>
      <c r="AA2" s="6" t="s">
        <v>58</v>
      </c>
    </row>
    <row r="3" spans="1:27" x14ac:dyDescent="0.3">
      <c r="A3" s="3" t="s">
        <v>2</v>
      </c>
      <c r="B3" s="3" t="s">
        <v>3</v>
      </c>
      <c r="C3" s="3">
        <v>14200</v>
      </c>
      <c r="D3" s="7">
        <f>(C3/M3)*100</f>
        <v>0.16904761904761903</v>
      </c>
      <c r="E3" s="3">
        <v>4200</v>
      </c>
      <c r="F3" s="3">
        <f>C3+E3</f>
        <v>18400</v>
      </c>
      <c r="G3" s="3">
        <v>550</v>
      </c>
      <c r="H3" s="7">
        <f>(G3/O3)</f>
        <v>1.0891089108910892</v>
      </c>
      <c r="I3" s="3">
        <v>95000</v>
      </c>
      <c r="J3" s="7">
        <f>(I3/M3)*100</f>
        <v>1.1309523809523809</v>
      </c>
      <c r="K3" s="3">
        <v>3700</v>
      </c>
      <c r="L3" s="7">
        <f>K3/O3</f>
        <v>7.326732673267327</v>
      </c>
      <c r="M3" s="3">
        <v>8400000</v>
      </c>
      <c r="N3" s="12">
        <v>0.88160000000000005</v>
      </c>
      <c r="O3" s="3">
        <v>505</v>
      </c>
      <c r="P3" s="7">
        <v>2.4</v>
      </c>
      <c r="Q3" s="9">
        <v>74</v>
      </c>
      <c r="R3" s="3">
        <v>94</v>
      </c>
      <c r="S3" s="7">
        <v>43.86</v>
      </c>
      <c r="T3" s="7">
        <v>10</v>
      </c>
      <c r="U3" s="7">
        <v>42.5</v>
      </c>
      <c r="V3" s="3">
        <v>2</v>
      </c>
      <c r="W3" s="14">
        <v>6.8</v>
      </c>
      <c r="X3" s="14">
        <v>13.11</v>
      </c>
      <c r="Y3" s="14">
        <v>24.42</v>
      </c>
      <c r="Z3" s="14">
        <v>39.04</v>
      </c>
      <c r="AA3" s="14">
        <v>55.9</v>
      </c>
    </row>
    <row r="4" spans="1:27" x14ac:dyDescent="0.3">
      <c r="A4" s="3" t="s">
        <v>4</v>
      </c>
      <c r="B4" s="3" t="s">
        <v>5</v>
      </c>
      <c r="C4" s="3">
        <v>20900</v>
      </c>
      <c r="D4" s="7">
        <f t="shared" ref="D4:D22" si="0">(C4/M4)*100</f>
        <v>1.7131147540983609</v>
      </c>
      <c r="E4" s="3">
        <v>9900</v>
      </c>
      <c r="F4" s="3">
        <f t="shared" ref="F4:F22" si="1">C4+E4</f>
        <v>30800</v>
      </c>
      <c r="G4" s="3">
        <v>330</v>
      </c>
      <c r="H4" s="7">
        <f t="shared" ref="H4:H22" si="2">(G4/O4)</f>
        <v>1.7741935483870968</v>
      </c>
      <c r="I4" s="3">
        <v>62500</v>
      </c>
      <c r="J4" s="7">
        <f t="shared" ref="J4:J22" si="3">(I4/M4)*100</f>
        <v>5.1229508196721314</v>
      </c>
      <c r="K4" s="3">
        <v>200</v>
      </c>
      <c r="L4" s="7">
        <f t="shared" ref="L4:L22" si="4">K4/O4</f>
        <v>1.075268817204301</v>
      </c>
      <c r="M4" s="3">
        <v>1220000</v>
      </c>
      <c r="N4" s="12">
        <v>0.93149999999999999</v>
      </c>
      <c r="O4" s="3">
        <v>186</v>
      </c>
      <c r="P4" s="7">
        <v>2.0299999999999998</v>
      </c>
      <c r="Q4" s="9">
        <v>30</v>
      </c>
      <c r="R4" s="3">
        <v>45</v>
      </c>
      <c r="S4" s="7">
        <v>43.76</v>
      </c>
      <c r="T4" s="7">
        <v>10</v>
      </c>
      <c r="U4" s="7">
        <v>70</v>
      </c>
      <c r="V4" s="3">
        <v>11</v>
      </c>
      <c r="W4" s="14">
        <v>11.44</v>
      </c>
      <c r="X4" s="14">
        <v>3.15</v>
      </c>
      <c r="Y4" s="14">
        <v>20.56</v>
      </c>
      <c r="Z4" s="14">
        <v>39.04</v>
      </c>
      <c r="AA4" s="14">
        <v>55.9</v>
      </c>
    </row>
    <row r="5" spans="1:27" x14ac:dyDescent="0.3">
      <c r="A5" s="3" t="s">
        <v>6</v>
      </c>
      <c r="B5" s="3" t="s">
        <v>7</v>
      </c>
      <c r="C5" s="3">
        <v>3200</v>
      </c>
      <c r="D5" s="7">
        <f t="shared" si="0"/>
        <v>0.26890756302521007</v>
      </c>
      <c r="E5" s="3">
        <v>600</v>
      </c>
      <c r="F5" s="3">
        <f t="shared" si="1"/>
        <v>3800</v>
      </c>
      <c r="G5" s="3">
        <v>75</v>
      </c>
      <c r="H5" s="7">
        <f t="shared" si="2"/>
        <v>0.65789473684210531</v>
      </c>
      <c r="I5" s="3">
        <v>57500</v>
      </c>
      <c r="J5" s="7">
        <f t="shared" si="3"/>
        <v>4.8319327731092443</v>
      </c>
      <c r="K5" s="3">
        <v>600</v>
      </c>
      <c r="L5" s="7">
        <f t="shared" si="4"/>
        <v>5.2631578947368425</v>
      </c>
      <c r="M5" s="3">
        <v>1190000</v>
      </c>
      <c r="N5" s="12">
        <v>0.86050000000000004</v>
      </c>
      <c r="O5" s="3">
        <v>114</v>
      </c>
      <c r="P5" s="7">
        <v>1.5</v>
      </c>
      <c r="Q5" s="9">
        <v>0</v>
      </c>
      <c r="R5" s="3">
        <v>36</v>
      </c>
      <c r="S5" s="7">
        <v>48.14</v>
      </c>
      <c r="T5" s="7">
        <v>10.5</v>
      </c>
      <c r="U5" s="7">
        <v>70</v>
      </c>
      <c r="V5" s="3">
        <v>23</v>
      </c>
      <c r="W5" s="14">
        <v>9.1300000000000008</v>
      </c>
      <c r="X5" s="14">
        <v>11.45</v>
      </c>
      <c r="Y5" s="14">
        <v>22.51</v>
      </c>
      <c r="Z5" s="14">
        <v>43.46</v>
      </c>
      <c r="AA5" s="14">
        <v>51.41</v>
      </c>
    </row>
    <row r="6" spans="1:27" x14ac:dyDescent="0.3">
      <c r="A6" s="3" t="s">
        <v>8</v>
      </c>
      <c r="B6" s="3" t="s">
        <v>9</v>
      </c>
      <c r="C6" s="3">
        <v>37200</v>
      </c>
      <c r="D6" s="7">
        <f t="shared" si="0"/>
        <v>1.3006993006993006</v>
      </c>
      <c r="E6" s="3">
        <v>4800</v>
      </c>
      <c r="F6" s="3">
        <f t="shared" si="1"/>
        <v>42000</v>
      </c>
      <c r="G6" s="3">
        <v>300</v>
      </c>
      <c r="H6" s="7">
        <f t="shared" si="2"/>
        <v>1.171875</v>
      </c>
      <c r="I6" s="3">
        <v>110000</v>
      </c>
      <c r="J6" s="7">
        <f t="shared" si="3"/>
        <v>3.8461538461538463</v>
      </c>
      <c r="K6" s="3">
        <v>1000</v>
      </c>
      <c r="L6" s="7">
        <f t="shared" si="4"/>
        <v>3.90625</v>
      </c>
      <c r="M6" s="3">
        <v>2860000</v>
      </c>
      <c r="N6" s="12">
        <v>0.91300000000000003</v>
      </c>
      <c r="O6" s="3">
        <v>256</v>
      </c>
      <c r="P6" s="7">
        <v>0.75</v>
      </c>
      <c r="Q6" s="9">
        <v>147</v>
      </c>
      <c r="R6" s="3">
        <v>25</v>
      </c>
      <c r="S6" s="7">
        <v>50.4</v>
      </c>
      <c r="T6" s="7">
        <v>10.25</v>
      </c>
      <c r="U6" s="7">
        <v>85</v>
      </c>
      <c r="V6" s="3">
        <v>6</v>
      </c>
      <c r="W6" s="14">
        <v>5.78</v>
      </c>
      <c r="X6" s="14">
        <v>7.54</v>
      </c>
      <c r="Y6" s="14">
        <v>20.100000000000001</v>
      </c>
      <c r="Z6" s="14">
        <v>39.04</v>
      </c>
      <c r="AA6" s="14">
        <v>55.9</v>
      </c>
    </row>
    <row r="7" spans="1:27" x14ac:dyDescent="0.3">
      <c r="A7" s="3" t="s">
        <v>33</v>
      </c>
      <c r="B7" s="3" t="s">
        <v>34</v>
      </c>
      <c r="C7" s="3">
        <v>4700</v>
      </c>
      <c r="D7" s="7">
        <f t="shared" si="0"/>
        <v>0.40869565217391302</v>
      </c>
      <c r="E7" s="3">
        <v>2700</v>
      </c>
      <c r="F7" s="3">
        <f t="shared" si="1"/>
        <v>7400</v>
      </c>
      <c r="G7" s="3">
        <v>116</v>
      </c>
      <c r="H7" s="7">
        <f t="shared" si="2"/>
        <v>0.53703703703703709</v>
      </c>
      <c r="I7" s="3">
        <v>20000</v>
      </c>
      <c r="J7" s="7">
        <f t="shared" si="3"/>
        <v>1.7391304347826086</v>
      </c>
      <c r="K7" s="3">
        <v>500</v>
      </c>
      <c r="L7" s="7">
        <f t="shared" si="4"/>
        <v>2.3148148148148149</v>
      </c>
      <c r="M7" s="3">
        <v>1150000</v>
      </c>
      <c r="N7" s="12">
        <v>0.91469999999999996</v>
      </c>
      <c r="O7" s="3">
        <v>216</v>
      </c>
      <c r="P7" s="7">
        <v>0.25</v>
      </c>
      <c r="Q7" s="9">
        <v>0</v>
      </c>
      <c r="R7" s="3">
        <v>25</v>
      </c>
      <c r="S7" s="7">
        <v>47.78</v>
      </c>
      <c r="T7" s="7">
        <v>8</v>
      </c>
      <c r="U7" s="7">
        <v>35</v>
      </c>
      <c r="V7" s="3">
        <v>14</v>
      </c>
      <c r="W7" s="14">
        <v>37.93</v>
      </c>
      <c r="X7" s="14">
        <v>4.5199999999999996</v>
      </c>
      <c r="Y7" s="14">
        <v>21.43</v>
      </c>
      <c r="Z7" s="14">
        <v>44.59</v>
      </c>
      <c r="AA7" s="14">
        <v>37</v>
      </c>
    </row>
    <row r="8" spans="1:27" x14ac:dyDescent="0.3">
      <c r="A8" s="3" t="s">
        <v>27</v>
      </c>
      <c r="B8" s="3" t="s">
        <v>15</v>
      </c>
      <c r="C8" s="3">
        <v>2800</v>
      </c>
      <c r="D8" s="7">
        <f t="shared" si="0"/>
        <v>0.2434782608695652</v>
      </c>
      <c r="E8" s="3">
        <v>3200</v>
      </c>
      <c r="F8" s="3">
        <f t="shared" si="1"/>
        <v>6000</v>
      </c>
      <c r="G8" s="3">
        <v>176</v>
      </c>
      <c r="H8" s="7">
        <f t="shared" si="2"/>
        <v>0.87128712871287128</v>
      </c>
      <c r="I8" s="3">
        <v>6000</v>
      </c>
      <c r="J8" s="7">
        <f t="shared" si="3"/>
        <v>0.52173913043478271</v>
      </c>
      <c r="K8" s="3">
        <v>36</v>
      </c>
      <c r="L8" s="7">
        <f t="shared" si="4"/>
        <v>0.17821782178217821</v>
      </c>
      <c r="M8" s="3">
        <v>1150000</v>
      </c>
      <c r="N8" s="12">
        <v>0.8679</v>
      </c>
      <c r="O8" s="3">
        <v>202</v>
      </c>
      <c r="P8" s="7">
        <v>0.2</v>
      </c>
      <c r="Q8" s="9">
        <v>0</v>
      </c>
      <c r="R8" s="3">
        <v>15</v>
      </c>
      <c r="S8" s="7">
        <v>38.159999999999997</v>
      </c>
      <c r="T8" s="7">
        <v>6.55</v>
      </c>
      <c r="U8" s="7">
        <v>50</v>
      </c>
      <c r="V8" s="3">
        <v>4</v>
      </c>
      <c r="W8" s="14">
        <v>9.58</v>
      </c>
      <c r="X8" s="14">
        <v>4.8600000000000003</v>
      </c>
      <c r="Y8" s="14">
        <v>22.08</v>
      </c>
      <c r="Z8" s="14">
        <v>62.52</v>
      </c>
      <c r="AA8" s="14">
        <v>32</v>
      </c>
    </row>
    <row r="9" spans="1:27" x14ac:dyDescent="0.3">
      <c r="A9" s="3" t="s">
        <v>10</v>
      </c>
      <c r="B9" s="3" t="s">
        <v>32</v>
      </c>
      <c r="C9" s="3">
        <v>14100</v>
      </c>
      <c r="D9" s="7">
        <f t="shared" si="0"/>
        <v>0.44062499999999993</v>
      </c>
      <c r="E9" s="3">
        <v>5400</v>
      </c>
      <c r="F9" s="3">
        <f t="shared" si="1"/>
        <v>19500</v>
      </c>
      <c r="G9" s="3">
        <v>300</v>
      </c>
      <c r="H9" s="7">
        <f t="shared" si="2"/>
        <v>0.56603773584905659</v>
      </c>
      <c r="I9" s="3">
        <v>70000</v>
      </c>
      <c r="J9" s="7">
        <f t="shared" si="3"/>
        <v>2.1875</v>
      </c>
      <c r="K9" s="3">
        <v>1000</v>
      </c>
      <c r="L9" s="7">
        <f t="shared" si="4"/>
        <v>1.8867924528301887</v>
      </c>
      <c r="M9" s="3">
        <v>3200000</v>
      </c>
      <c r="N9" s="12">
        <v>0.85870000000000002</v>
      </c>
      <c r="O9" s="3">
        <v>530</v>
      </c>
      <c r="P9" s="7">
        <v>11.5</v>
      </c>
      <c r="Q9" s="9">
        <v>125</v>
      </c>
      <c r="R9" s="3">
        <v>45</v>
      </c>
      <c r="S9" s="7">
        <v>43.76</v>
      </c>
      <c r="T9" s="7">
        <v>9.75</v>
      </c>
      <c r="U9" s="7">
        <v>40</v>
      </c>
      <c r="V9" s="13">
        <v>4</v>
      </c>
      <c r="W9" s="14">
        <v>14.33</v>
      </c>
      <c r="X9" s="14">
        <v>6.72</v>
      </c>
      <c r="Y9" s="14">
        <v>20.02</v>
      </c>
      <c r="Z9" s="14">
        <v>48.61</v>
      </c>
      <c r="AA9" s="14">
        <v>57</v>
      </c>
    </row>
    <row r="10" spans="1:27" x14ac:dyDescent="0.3">
      <c r="A10" s="3" t="s">
        <v>11</v>
      </c>
      <c r="B10" s="3" t="s">
        <v>31</v>
      </c>
      <c r="C10" s="3">
        <v>13100</v>
      </c>
      <c r="D10" s="7">
        <f t="shared" si="0"/>
        <v>0.31951219512195123</v>
      </c>
      <c r="E10" s="3">
        <v>3200</v>
      </c>
      <c r="F10" s="3">
        <f t="shared" si="1"/>
        <v>16300</v>
      </c>
      <c r="G10" s="3">
        <v>750</v>
      </c>
      <c r="H10" s="7">
        <f t="shared" si="2"/>
        <v>1.6059957173447537</v>
      </c>
      <c r="I10" s="3">
        <v>95000</v>
      </c>
      <c r="J10" s="7">
        <f t="shared" si="3"/>
        <v>2.3170731707317072</v>
      </c>
      <c r="K10" s="3">
        <v>1000</v>
      </c>
      <c r="L10" s="7">
        <f t="shared" si="4"/>
        <v>2.1413276231263385</v>
      </c>
      <c r="M10" s="3">
        <v>4100000</v>
      </c>
      <c r="N10" s="12">
        <v>0.83330000000000004</v>
      </c>
      <c r="O10" s="3">
        <v>467</v>
      </c>
      <c r="P10" s="7">
        <v>6</v>
      </c>
      <c r="Q10" s="9">
        <v>12</v>
      </c>
      <c r="R10" s="3">
        <v>65</v>
      </c>
      <c r="S10" s="7">
        <v>48.9</v>
      </c>
      <c r="T10" s="7">
        <v>10.5</v>
      </c>
      <c r="U10" s="7">
        <v>55</v>
      </c>
      <c r="V10" s="3">
        <v>19</v>
      </c>
      <c r="W10" s="14">
        <v>6.15</v>
      </c>
      <c r="X10" s="14">
        <v>6.01</v>
      </c>
      <c r="Y10" s="14">
        <v>21.51</v>
      </c>
      <c r="Z10" s="14">
        <v>35.32</v>
      </c>
      <c r="AA10" s="14">
        <v>61.97</v>
      </c>
    </row>
    <row r="11" spans="1:27" x14ac:dyDescent="0.3">
      <c r="A11" s="3" t="s">
        <v>30</v>
      </c>
      <c r="B11" s="3" t="s">
        <v>29</v>
      </c>
      <c r="C11" s="3">
        <v>6400</v>
      </c>
      <c r="D11" s="7">
        <f t="shared" si="0"/>
        <v>0.2</v>
      </c>
      <c r="E11" s="3">
        <v>3300</v>
      </c>
      <c r="F11" s="3">
        <f t="shared" si="1"/>
        <v>9700</v>
      </c>
      <c r="G11" s="3">
        <v>300</v>
      </c>
      <c r="H11" s="7">
        <f t="shared" si="2"/>
        <v>1.1538461538461537</v>
      </c>
      <c r="I11" s="3">
        <v>6000</v>
      </c>
      <c r="J11" s="7">
        <f t="shared" si="3"/>
        <v>0.1875</v>
      </c>
      <c r="K11" s="3">
        <v>250</v>
      </c>
      <c r="L11" s="7">
        <f t="shared" si="4"/>
        <v>0.96153846153846156</v>
      </c>
      <c r="M11" s="3">
        <v>3200000</v>
      </c>
      <c r="N11" s="12">
        <v>0.82</v>
      </c>
      <c r="O11" s="3">
        <v>260</v>
      </c>
      <c r="P11" s="7">
        <v>0.53</v>
      </c>
      <c r="Q11" s="9">
        <v>8.6999999999999993</v>
      </c>
      <c r="R11" s="3">
        <v>3</v>
      </c>
      <c r="S11" s="7">
        <v>86.02</v>
      </c>
      <c r="T11" s="7">
        <v>9.5</v>
      </c>
      <c r="U11" s="7">
        <v>75</v>
      </c>
      <c r="V11" s="3">
        <v>13</v>
      </c>
      <c r="W11" s="14">
        <v>6.65</v>
      </c>
      <c r="X11" s="14">
        <v>3.76</v>
      </c>
      <c r="Y11" s="14">
        <v>21.7</v>
      </c>
      <c r="Z11" s="14">
        <v>47.54</v>
      </c>
      <c r="AA11" s="14">
        <v>89.2</v>
      </c>
    </row>
    <row r="12" spans="1:27" x14ac:dyDescent="0.3">
      <c r="A12" s="3" t="s">
        <v>12</v>
      </c>
      <c r="B12" s="3" t="s">
        <v>29</v>
      </c>
      <c r="C12" s="3">
        <v>12100</v>
      </c>
      <c r="D12" s="7">
        <f t="shared" si="0"/>
        <v>0.30249999999999999</v>
      </c>
      <c r="E12" s="3">
        <v>10100</v>
      </c>
      <c r="F12" s="3">
        <f t="shared" si="1"/>
        <v>22200</v>
      </c>
      <c r="G12" s="3">
        <v>300</v>
      </c>
      <c r="H12" s="7">
        <f t="shared" si="2"/>
        <v>0.47543581616481773</v>
      </c>
      <c r="I12" s="3">
        <v>72500</v>
      </c>
      <c r="J12" s="7">
        <f t="shared" si="3"/>
        <v>1.8124999999999998</v>
      </c>
      <c r="K12" s="3">
        <v>800</v>
      </c>
      <c r="L12" s="7">
        <f t="shared" si="4"/>
        <v>1.2678288431061806</v>
      </c>
      <c r="M12" s="3">
        <v>4000000</v>
      </c>
      <c r="N12" s="12">
        <v>0.82499999999999996</v>
      </c>
      <c r="O12" s="3">
        <v>631</v>
      </c>
      <c r="P12" s="7">
        <v>0.4</v>
      </c>
      <c r="Q12" s="9">
        <v>85</v>
      </c>
      <c r="R12" s="3">
        <v>60</v>
      </c>
      <c r="S12" s="7">
        <v>47.61</v>
      </c>
      <c r="T12" s="7">
        <v>9.5</v>
      </c>
      <c r="U12" s="7">
        <v>45</v>
      </c>
      <c r="V12" s="3">
        <v>13</v>
      </c>
      <c r="W12" s="14">
        <v>8.7200000000000006</v>
      </c>
      <c r="X12" s="14">
        <v>5.73</v>
      </c>
      <c r="Y12" s="14">
        <v>20.48</v>
      </c>
      <c r="Z12" s="14">
        <v>48.85</v>
      </c>
      <c r="AA12" s="14">
        <v>78.11</v>
      </c>
    </row>
    <row r="13" spans="1:27" x14ac:dyDescent="0.3">
      <c r="A13" s="3" t="s">
        <v>13</v>
      </c>
      <c r="B13" s="3" t="s">
        <v>9</v>
      </c>
      <c r="C13" s="3">
        <v>8700</v>
      </c>
      <c r="D13" s="7">
        <f t="shared" si="0"/>
        <v>0.48333333333333334</v>
      </c>
      <c r="E13" s="3">
        <v>1000</v>
      </c>
      <c r="F13" s="3">
        <f t="shared" si="1"/>
        <v>9700</v>
      </c>
      <c r="G13" s="3">
        <v>130</v>
      </c>
      <c r="H13" s="7">
        <f t="shared" si="2"/>
        <v>0.8783783783783784</v>
      </c>
      <c r="I13" s="3">
        <v>20000</v>
      </c>
      <c r="J13" s="7">
        <f t="shared" si="3"/>
        <v>1.1111111111111112</v>
      </c>
      <c r="K13" s="3">
        <v>325</v>
      </c>
      <c r="L13" s="7">
        <f t="shared" si="4"/>
        <v>2.1959459459459461</v>
      </c>
      <c r="M13" s="3">
        <v>1800000</v>
      </c>
      <c r="N13" s="12">
        <v>0.90910000000000002</v>
      </c>
      <c r="O13" s="3">
        <v>148</v>
      </c>
      <c r="P13" s="7">
        <v>1.25</v>
      </c>
      <c r="Q13" s="9">
        <v>0</v>
      </c>
      <c r="R13" s="3">
        <v>16</v>
      </c>
      <c r="S13" s="7">
        <v>13.6</v>
      </c>
      <c r="T13" s="7">
        <v>8.25</v>
      </c>
      <c r="U13" s="7">
        <v>47.5</v>
      </c>
      <c r="V13" s="3">
        <v>6</v>
      </c>
      <c r="W13" s="14">
        <v>6.8</v>
      </c>
      <c r="X13" s="14">
        <v>5.23</v>
      </c>
      <c r="Y13" s="14">
        <v>21.25</v>
      </c>
      <c r="Z13" s="14">
        <v>47.35</v>
      </c>
      <c r="AA13" s="14">
        <v>69.03</v>
      </c>
    </row>
    <row r="14" spans="1:27" x14ac:dyDescent="0.3">
      <c r="A14" s="3" t="s">
        <v>14</v>
      </c>
      <c r="B14" s="3" t="s">
        <v>15</v>
      </c>
      <c r="C14" s="3">
        <v>6400</v>
      </c>
      <c r="D14" s="7">
        <f t="shared" si="0"/>
        <v>0.91428571428571437</v>
      </c>
      <c r="E14" s="3">
        <v>1200</v>
      </c>
      <c r="F14" s="3">
        <f t="shared" si="1"/>
        <v>7600</v>
      </c>
      <c r="G14" s="3">
        <v>300</v>
      </c>
      <c r="H14" s="7">
        <f t="shared" si="2"/>
        <v>2.255639097744361</v>
      </c>
      <c r="I14" s="3">
        <v>25000</v>
      </c>
      <c r="J14" s="7">
        <f t="shared" si="3"/>
        <v>3.5714285714285712</v>
      </c>
      <c r="K14" s="3">
        <v>55</v>
      </c>
      <c r="L14" s="7">
        <f t="shared" si="4"/>
        <v>0.41353383458646614</v>
      </c>
      <c r="M14" s="3">
        <v>700000</v>
      </c>
      <c r="N14" s="12">
        <v>0.93720000000000003</v>
      </c>
      <c r="O14" s="3">
        <v>133</v>
      </c>
      <c r="P14" s="7">
        <v>0.75</v>
      </c>
      <c r="Q14" s="9">
        <v>0</v>
      </c>
      <c r="R14" s="3">
        <v>22</v>
      </c>
      <c r="S14" s="7">
        <v>45.9</v>
      </c>
      <c r="T14" s="7">
        <v>9.5</v>
      </c>
      <c r="U14" s="7">
        <v>65</v>
      </c>
      <c r="V14" s="3">
        <v>4</v>
      </c>
      <c r="W14" s="14">
        <v>10.82</v>
      </c>
      <c r="X14" s="14">
        <v>5.52</v>
      </c>
      <c r="Y14" s="14">
        <v>19.12</v>
      </c>
      <c r="Z14" s="14">
        <v>25.07</v>
      </c>
      <c r="AA14" s="14">
        <v>46.25</v>
      </c>
    </row>
    <row r="15" spans="1:27" x14ac:dyDescent="0.3">
      <c r="A15" s="3" t="s">
        <v>16</v>
      </c>
      <c r="B15" s="3" t="s">
        <v>15</v>
      </c>
      <c r="C15" s="3">
        <v>2800</v>
      </c>
      <c r="D15" s="7">
        <f t="shared" si="0"/>
        <v>0.23333333333333336</v>
      </c>
      <c r="E15" s="3">
        <v>700</v>
      </c>
      <c r="F15" s="3">
        <f t="shared" si="1"/>
        <v>3500</v>
      </c>
      <c r="G15" s="3">
        <v>175</v>
      </c>
      <c r="H15" s="7">
        <f t="shared" si="2"/>
        <v>1.1217948717948718</v>
      </c>
      <c r="I15" s="3">
        <v>18000</v>
      </c>
      <c r="J15" s="7">
        <f t="shared" si="3"/>
        <v>1.5</v>
      </c>
      <c r="K15" s="3">
        <v>200</v>
      </c>
      <c r="L15" s="7">
        <f t="shared" si="4"/>
        <v>1.2820512820512822</v>
      </c>
      <c r="M15" s="3">
        <v>1200000</v>
      </c>
      <c r="N15" s="12">
        <v>0.8609</v>
      </c>
      <c r="O15" s="3">
        <v>156</v>
      </c>
      <c r="P15" s="7">
        <v>2.5</v>
      </c>
      <c r="Q15" s="9">
        <v>0</v>
      </c>
      <c r="R15" s="3">
        <v>9</v>
      </c>
      <c r="S15" s="7">
        <v>40.270000000000003</v>
      </c>
      <c r="T15" s="7">
        <v>8.5</v>
      </c>
      <c r="U15" s="7">
        <v>37.5</v>
      </c>
      <c r="V15" s="3">
        <v>4</v>
      </c>
      <c r="W15" s="14">
        <v>11.73</v>
      </c>
      <c r="X15" s="14">
        <v>3.01</v>
      </c>
      <c r="Y15" s="14">
        <v>21.46</v>
      </c>
      <c r="Z15" s="14">
        <v>50.04</v>
      </c>
      <c r="AA15" s="14">
        <v>58.57</v>
      </c>
    </row>
    <row r="16" spans="1:27" x14ac:dyDescent="0.3">
      <c r="A16" s="3" t="s">
        <v>17</v>
      </c>
      <c r="B16" s="3" t="s">
        <v>19</v>
      </c>
      <c r="C16" s="3">
        <v>15300</v>
      </c>
      <c r="D16" s="7">
        <f t="shared" si="0"/>
        <v>0.51170568561872909</v>
      </c>
      <c r="E16" s="3">
        <v>4800</v>
      </c>
      <c r="F16" s="3">
        <f t="shared" si="1"/>
        <v>20100</v>
      </c>
      <c r="G16" s="3">
        <v>331</v>
      </c>
      <c r="H16" s="7">
        <f t="shared" si="2"/>
        <v>1.5183486238532109</v>
      </c>
      <c r="I16" s="3">
        <v>60000</v>
      </c>
      <c r="J16" s="7">
        <f t="shared" si="3"/>
        <v>2.0066889632107023</v>
      </c>
      <c r="K16" s="3">
        <v>550</v>
      </c>
      <c r="L16" s="7">
        <f t="shared" si="4"/>
        <v>2.522935779816514</v>
      </c>
      <c r="M16" s="3">
        <v>2990000</v>
      </c>
      <c r="N16" s="12">
        <v>0.91920000000000002</v>
      </c>
      <c r="O16" s="3">
        <v>218</v>
      </c>
      <c r="P16" s="7">
        <v>20</v>
      </c>
      <c r="Q16" s="9">
        <v>44</v>
      </c>
      <c r="R16" s="3">
        <v>25</v>
      </c>
      <c r="S16" s="7">
        <v>38.56</v>
      </c>
      <c r="T16" s="7">
        <v>8</v>
      </c>
      <c r="U16" s="7">
        <v>47.5</v>
      </c>
      <c r="V16" s="3">
        <v>10</v>
      </c>
      <c r="W16" s="14">
        <v>7.79</v>
      </c>
      <c r="X16" s="14">
        <v>5.57</v>
      </c>
      <c r="Y16" s="14">
        <v>20.95</v>
      </c>
      <c r="Z16" s="14">
        <v>36.770000000000003</v>
      </c>
      <c r="AA16" s="14">
        <v>70</v>
      </c>
    </row>
    <row r="17" spans="1:27" x14ac:dyDescent="0.3">
      <c r="A17" s="3" t="s">
        <v>18</v>
      </c>
      <c r="B17" s="3" t="s">
        <v>19</v>
      </c>
      <c r="C17" s="3">
        <v>14400</v>
      </c>
      <c r="D17" s="7">
        <f t="shared" si="0"/>
        <v>0.66055045871559637</v>
      </c>
      <c r="E17" s="3">
        <v>3600</v>
      </c>
      <c r="F17" s="3">
        <f t="shared" si="1"/>
        <v>18000</v>
      </c>
      <c r="G17" s="3">
        <v>233</v>
      </c>
      <c r="H17" s="7">
        <f t="shared" si="2"/>
        <v>0.87265917602996257</v>
      </c>
      <c r="I17" s="3">
        <v>32500</v>
      </c>
      <c r="J17" s="7">
        <f t="shared" si="3"/>
        <v>1.4908256880733946</v>
      </c>
      <c r="K17" s="3">
        <v>250</v>
      </c>
      <c r="L17" s="7">
        <f t="shared" si="4"/>
        <v>0.93632958801498123</v>
      </c>
      <c r="M17" s="3">
        <v>2180000</v>
      </c>
      <c r="N17" s="12">
        <v>0.89849999999999997</v>
      </c>
      <c r="O17" s="3">
        <v>267</v>
      </c>
      <c r="P17" s="7">
        <v>10.1</v>
      </c>
      <c r="Q17" s="9">
        <v>33</v>
      </c>
      <c r="R17" s="3">
        <v>6</v>
      </c>
      <c r="S17" s="7">
        <v>36.82</v>
      </c>
      <c r="T17" s="7">
        <v>7.67</v>
      </c>
      <c r="U17" s="7">
        <v>45</v>
      </c>
      <c r="V17" s="3">
        <v>10</v>
      </c>
      <c r="W17" s="14">
        <v>9.61</v>
      </c>
      <c r="X17" s="14">
        <v>2.88</v>
      </c>
      <c r="Y17" s="14">
        <v>22.36</v>
      </c>
      <c r="Z17" s="14">
        <v>22.96</v>
      </c>
      <c r="AA17" s="14">
        <v>37</v>
      </c>
    </row>
    <row r="18" spans="1:27" x14ac:dyDescent="0.3">
      <c r="A18" s="3" t="s">
        <v>20</v>
      </c>
      <c r="B18" s="3" t="s">
        <v>21</v>
      </c>
      <c r="C18" s="3">
        <v>17300</v>
      </c>
      <c r="D18" s="7">
        <f t="shared" si="0"/>
        <v>1.696078431372549</v>
      </c>
      <c r="E18" s="3">
        <v>5900</v>
      </c>
      <c r="F18" s="3">
        <f t="shared" si="1"/>
        <v>23200</v>
      </c>
      <c r="G18" s="3">
        <v>180</v>
      </c>
      <c r="H18" s="7">
        <f t="shared" si="2"/>
        <v>0.83720930232558144</v>
      </c>
      <c r="I18" s="3">
        <v>57500</v>
      </c>
      <c r="J18" s="7">
        <f t="shared" si="3"/>
        <v>5.6372549019607847</v>
      </c>
      <c r="K18" s="3">
        <v>550</v>
      </c>
      <c r="L18" s="7">
        <f t="shared" si="4"/>
        <v>2.558139534883721</v>
      </c>
      <c r="M18" s="3">
        <v>1020000</v>
      </c>
      <c r="N18" s="12">
        <v>0.95099999999999996</v>
      </c>
      <c r="O18" s="3">
        <v>215</v>
      </c>
      <c r="P18" s="7">
        <v>1</v>
      </c>
      <c r="Q18" s="9">
        <v>0</v>
      </c>
      <c r="R18" s="3">
        <v>40</v>
      </c>
      <c r="S18" s="7">
        <v>53.73</v>
      </c>
      <c r="T18" s="7">
        <v>10</v>
      </c>
      <c r="U18" s="7">
        <v>38.5</v>
      </c>
      <c r="V18" s="3">
        <v>18</v>
      </c>
      <c r="W18" s="14">
        <v>4.47</v>
      </c>
      <c r="X18" s="14">
        <v>3.37</v>
      </c>
      <c r="Y18" s="14">
        <v>19.28</v>
      </c>
      <c r="Z18" s="14">
        <v>39.04</v>
      </c>
      <c r="AA18" s="14">
        <v>55.9</v>
      </c>
    </row>
    <row r="19" spans="1:27" x14ac:dyDescent="0.3">
      <c r="A19" s="3" t="s">
        <v>25</v>
      </c>
      <c r="B19" s="3" t="s">
        <v>28</v>
      </c>
      <c r="C19" s="3">
        <v>3500</v>
      </c>
      <c r="D19" s="7">
        <f t="shared" si="0"/>
        <v>0.47945205479452058</v>
      </c>
      <c r="E19" s="3">
        <v>1600</v>
      </c>
      <c r="F19" s="3">
        <f t="shared" si="1"/>
        <v>5100</v>
      </c>
      <c r="G19" s="3">
        <v>55</v>
      </c>
      <c r="H19" s="7">
        <f t="shared" si="2"/>
        <v>1.8333333333333333</v>
      </c>
      <c r="I19" s="3">
        <v>10000</v>
      </c>
      <c r="J19" s="7">
        <f t="shared" si="3"/>
        <v>1.3698630136986301</v>
      </c>
      <c r="K19" s="3">
        <v>25</v>
      </c>
      <c r="L19" s="7">
        <f t="shared" si="4"/>
        <v>0.83333333333333337</v>
      </c>
      <c r="M19" s="3">
        <v>730000</v>
      </c>
      <c r="N19" s="12">
        <v>0.90169999999999995</v>
      </c>
      <c r="O19" s="3">
        <v>30</v>
      </c>
      <c r="P19" s="7">
        <v>0</v>
      </c>
      <c r="Q19" s="9">
        <v>0</v>
      </c>
      <c r="R19" s="3">
        <v>2</v>
      </c>
      <c r="S19" s="7">
        <v>41.45</v>
      </c>
      <c r="T19" s="7">
        <v>6.5</v>
      </c>
      <c r="U19" s="7">
        <v>40</v>
      </c>
      <c r="V19" s="3">
        <v>1</v>
      </c>
      <c r="W19" s="14">
        <v>32.44</v>
      </c>
      <c r="X19" s="14">
        <v>4.92</v>
      </c>
      <c r="Y19" s="14">
        <v>19.61</v>
      </c>
      <c r="Z19" s="14">
        <v>39.83</v>
      </c>
      <c r="AA19" s="14">
        <v>86</v>
      </c>
    </row>
    <row r="20" spans="1:27" x14ac:dyDescent="0.3">
      <c r="A20" s="3" t="s">
        <v>26</v>
      </c>
      <c r="B20" s="3" t="s">
        <v>28</v>
      </c>
      <c r="C20" s="3">
        <v>4700</v>
      </c>
      <c r="D20" s="7">
        <f t="shared" si="0"/>
        <v>0.22380952380952382</v>
      </c>
      <c r="E20" s="3">
        <v>2400</v>
      </c>
      <c r="F20" s="3">
        <f t="shared" si="1"/>
        <v>7100</v>
      </c>
      <c r="G20" s="3">
        <v>220</v>
      </c>
      <c r="H20" s="7">
        <f t="shared" si="2"/>
        <v>3.5483870967741935</v>
      </c>
      <c r="I20" s="3">
        <v>25000</v>
      </c>
      <c r="J20" s="7">
        <f t="shared" si="3"/>
        <v>1.1904761904761905</v>
      </c>
      <c r="K20" s="3">
        <v>550</v>
      </c>
      <c r="L20" s="7">
        <f t="shared" si="4"/>
        <v>8.870967741935484</v>
      </c>
      <c r="M20" s="3">
        <v>2100000</v>
      </c>
      <c r="N20" s="12">
        <v>0.81240000000000001</v>
      </c>
      <c r="O20" s="3">
        <v>62</v>
      </c>
      <c r="P20" s="7">
        <v>0.24</v>
      </c>
      <c r="Q20" s="9">
        <v>0</v>
      </c>
      <c r="R20" s="3">
        <v>10</v>
      </c>
      <c r="S20" s="7">
        <v>44.9</v>
      </c>
      <c r="T20" s="7">
        <v>6.75</v>
      </c>
      <c r="U20" s="7">
        <v>40</v>
      </c>
      <c r="V20" s="3">
        <v>1</v>
      </c>
      <c r="W20" s="14">
        <v>16.78</v>
      </c>
      <c r="X20" s="14">
        <v>8.61</v>
      </c>
      <c r="Y20" s="14">
        <v>24.06</v>
      </c>
      <c r="Z20" s="14">
        <v>36.81</v>
      </c>
      <c r="AA20" s="14">
        <v>73.290000000000006</v>
      </c>
    </row>
    <row r="21" spans="1:27" x14ac:dyDescent="0.3">
      <c r="A21" s="3" t="s">
        <v>22</v>
      </c>
      <c r="B21" s="3" t="s">
        <v>28</v>
      </c>
      <c r="C21" s="3">
        <v>6400</v>
      </c>
      <c r="D21" s="7">
        <f t="shared" si="0"/>
        <v>0.2807017543859649</v>
      </c>
      <c r="E21" s="3">
        <v>1300</v>
      </c>
      <c r="F21" s="3">
        <f t="shared" si="1"/>
        <v>7700</v>
      </c>
      <c r="G21" s="3">
        <v>216</v>
      </c>
      <c r="H21" s="7">
        <f t="shared" si="2"/>
        <v>0.3927272727272727</v>
      </c>
      <c r="I21" s="3">
        <v>55000</v>
      </c>
      <c r="J21" s="7">
        <f t="shared" si="3"/>
        <v>2.4122807017543857</v>
      </c>
      <c r="K21" s="3">
        <v>250</v>
      </c>
      <c r="L21" s="7">
        <f t="shared" si="4"/>
        <v>0.45454545454545453</v>
      </c>
      <c r="M21" s="3">
        <v>2280000</v>
      </c>
      <c r="N21" s="12">
        <v>0.81789999999999996</v>
      </c>
      <c r="O21" s="3">
        <v>550</v>
      </c>
      <c r="P21" s="7">
        <v>1.45</v>
      </c>
      <c r="Q21" s="9">
        <v>80</v>
      </c>
      <c r="R21" s="3">
        <v>27</v>
      </c>
      <c r="S21" s="7">
        <v>48</v>
      </c>
      <c r="T21" s="7">
        <v>9.25</v>
      </c>
      <c r="U21" s="7">
        <v>47.5</v>
      </c>
      <c r="V21" s="3">
        <v>1</v>
      </c>
      <c r="W21" s="14">
        <v>31.22</v>
      </c>
      <c r="X21" s="14">
        <v>6.58</v>
      </c>
      <c r="Y21" s="14">
        <v>24.44</v>
      </c>
      <c r="Z21" s="14">
        <v>37.799999999999997</v>
      </c>
      <c r="AA21" s="14">
        <v>65.7</v>
      </c>
    </row>
    <row r="22" spans="1:27" x14ac:dyDescent="0.3">
      <c r="A22" s="3" t="s">
        <v>24</v>
      </c>
      <c r="B22" s="3" t="s">
        <v>23</v>
      </c>
      <c r="C22" s="3">
        <v>4800</v>
      </c>
      <c r="D22" s="7">
        <f t="shared" si="0"/>
        <v>0.48</v>
      </c>
      <c r="E22" s="3">
        <v>1000</v>
      </c>
      <c r="F22" s="3">
        <f t="shared" si="1"/>
        <v>5800</v>
      </c>
      <c r="G22" s="3">
        <v>180</v>
      </c>
      <c r="H22" s="7">
        <f t="shared" si="2"/>
        <v>0.44334975369458129</v>
      </c>
      <c r="I22" s="3">
        <v>35000</v>
      </c>
      <c r="J22" s="7">
        <f t="shared" si="3"/>
        <v>3.5000000000000004</v>
      </c>
      <c r="K22" s="3">
        <v>25</v>
      </c>
      <c r="L22" s="7">
        <f t="shared" si="4"/>
        <v>6.1576354679802957E-2</v>
      </c>
      <c r="M22" s="3">
        <v>1000000</v>
      </c>
      <c r="N22" s="12">
        <v>0.83299999999999996</v>
      </c>
      <c r="O22" s="3">
        <v>406</v>
      </c>
      <c r="P22" s="7">
        <v>0.25</v>
      </c>
      <c r="Q22" s="9">
        <v>17</v>
      </c>
      <c r="R22" s="3">
        <v>0</v>
      </c>
      <c r="S22" s="7">
        <v>44.38</v>
      </c>
      <c r="T22" s="7">
        <v>9.25</v>
      </c>
      <c r="U22" s="7">
        <v>52.5</v>
      </c>
      <c r="V22" s="3">
        <v>7</v>
      </c>
      <c r="W22" s="14">
        <v>13.97</v>
      </c>
      <c r="X22" s="14">
        <v>11.17</v>
      </c>
      <c r="Y22" s="14">
        <v>18.02</v>
      </c>
      <c r="Z22" s="14">
        <v>26.13</v>
      </c>
      <c r="AA22" s="14">
        <v>68</v>
      </c>
    </row>
  </sheetData>
  <mergeCells count="6">
    <mergeCell ref="V1:AA1"/>
    <mergeCell ref="P1:S1"/>
    <mergeCell ref="T1:U1"/>
    <mergeCell ref="M1:O1"/>
    <mergeCell ref="C1:H1"/>
    <mergeCell ref="I1:L1"/>
  </mergeCells>
  <conditionalFormatting sqref="W1 W3:W1048576">
    <cfRule type="cellIs" dxfId="10" priority="7" operator="greaterThanOrEqual">
      <formula>30</formula>
    </cfRule>
  </conditionalFormatting>
  <conditionalFormatting sqref="X1 X3:X1048576">
    <cfRule type="cellIs" dxfId="11" priority="6" operator="greaterThanOrEqual">
      <formula>7</formula>
    </cfRule>
  </conditionalFormatting>
  <conditionalFormatting sqref="Y3:Y22">
    <cfRule type="cellIs" dxfId="6" priority="5" operator="lessThanOrEqual">
      <formula>21</formula>
    </cfRule>
  </conditionalFormatting>
  <conditionalFormatting sqref="Z3:Z22">
    <cfRule type="cellIs" dxfId="5" priority="4" operator="lessThanOrEqual">
      <formula>40</formula>
    </cfRule>
    <cfRule type="cellIs" dxfId="4" priority="3" operator="greaterThanOrEqual">
      <formula>60</formula>
    </cfRule>
  </conditionalFormatting>
  <conditionalFormatting sqref="AA3:AA22">
    <cfRule type="cellIs" dxfId="2" priority="2" operator="lessThan">
      <formula>40</formula>
    </cfRule>
    <cfRule type="cellIs" dxfId="1" priority="1" operator="greaterThan">
      <formula>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Sridhara Murthy</dc:creator>
  <cp:lastModifiedBy>Sridhara Murthy</cp:lastModifiedBy>
  <dcterms:created xsi:type="dcterms:W3CDTF">2026-03-06T13:44:02Z</dcterms:created>
  <dcterms:modified xsi:type="dcterms:W3CDTF">2026-03-07T13:58:20Z</dcterms:modified>
</cp:coreProperties>
</file>